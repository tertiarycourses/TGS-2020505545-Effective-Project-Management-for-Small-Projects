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40603D90-3106-48ED-901D-E38906D6CF62}" xr6:coauthVersionLast="47" xr6:coauthVersionMax="47" xr10:uidLastSave="{00000000-0000-0000-0000-000000000000}"/>
  <bookViews>
    <workbookView xWindow="-108" yWindow="-108" windowWidth="23256" windowHeight="12576" xr2:uid="{00000000-000D-0000-FFFF-FFFF00000000}"/>
  </bookViews>
  <sheets>
    <sheet name="Ishikawa Diagram (Root Cause)" sheetId="1" r:id="rId1"/>
    <sheet name="Ishikawa Diagram Manufacturing" sheetId="3" r:id="rId2"/>
    <sheet name="(Cell Based) Ishikawa Diagram" sheetId="5" r:id="rId3"/>
    <sheet name="©" sheetId="4" r:id="rId4"/>
  </sheets>
  <definedNames>
    <definedName name="_xlnm.Print_Area" localSheetId="2">'(Cell Based) Ishikawa Diagram'!$A$1:$M$37</definedName>
    <definedName name="_xlnm.Print_Area" localSheetId="0">'Ishikawa Diagram (Root Cause)'!$A$1:$N$48</definedName>
    <definedName name="_xlnm.Print_Area" localSheetId="1">'Ishikawa Diagram Manufacturing'!$A$1:$N$48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5" l="1"/>
  <c r="I20" i="5"/>
  <c r="G20" i="5"/>
  <c r="E20" i="5"/>
  <c r="C20" i="5"/>
  <c r="H18" i="5"/>
  <c r="F18" i="5"/>
  <c r="D18" i="5"/>
  <c r="B18" i="5"/>
  <c r="H17" i="5"/>
  <c r="F17" i="5"/>
  <c r="D17" i="5"/>
  <c r="B17" i="5"/>
  <c r="H16" i="5"/>
  <c r="F16" i="5"/>
  <c r="D16" i="5"/>
  <c r="B16" i="5"/>
  <c r="H15" i="5"/>
  <c r="F15" i="5"/>
  <c r="D15" i="5"/>
  <c r="B15" i="5"/>
  <c r="H13" i="5"/>
  <c r="F13" i="5"/>
  <c r="B13" i="5"/>
  <c r="H12" i="5"/>
  <c r="F12" i="5"/>
  <c r="B12" i="5"/>
  <c r="F11" i="5"/>
  <c r="B11" i="5"/>
  <c r="B10" i="5"/>
  <c r="B9" i="5"/>
  <c r="B8" i="5"/>
  <c r="H7" i="5"/>
  <c r="F7" i="5"/>
  <c r="D7" i="5"/>
  <c r="B7" i="5"/>
  <c r="B47" i="3"/>
  <c r="B46" i="3"/>
  <c r="B45" i="3"/>
  <c r="B44" i="3"/>
  <c r="B43" i="3"/>
  <c r="B42" i="3"/>
  <c r="B41" i="3"/>
  <c r="B39" i="3"/>
  <c r="B40" i="3" s="1"/>
  <c r="B38" i="3"/>
  <c r="B41" i="1"/>
  <c r="B38" i="1"/>
  <c r="D11" i="5" l="1"/>
  <c r="D8" i="5"/>
  <c r="D12" i="5" s="1"/>
  <c r="F8" i="5"/>
  <c r="F10" i="5" s="1"/>
  <c r="H8" i="5"/>
  <c r="D9" i="5"/>
  <c r="D13" i="5" s="1"/>
  <c r="F9" i="5"/>
  <c r="B28" i="5"/>
  <c r="H9" i="5"/>
  <c r="B29" i="5"/>
  <c r="B30" i="5"/>
  <c r="D10" i="5"/>
  <c r="B31" i="5"/>
  <c r="B32" i="5"/>
  <c r="B33" i="5"/>
  <c r="B34" i="5"/>
  <c r="B42" i="1"/>
  <c r="B39" i="1"/>
  <c r="B40" i="1" s="1"/>
  <c r="D14" i="5" l="1"/>
  <c r="B35" i="5"/>
  <c r="B36" i="5" s="1"/>
  <c r="H10" i="5"/>
  <c r="H11" i="5" s="1"/>
  <c r="B43" i="1"/>
  <c r="B44" i="1" l="1"/>
  <c r="B45" i="1"/>
  <c r="B46" i="1" l="1"/>
  <c r="B47" i="1" s="1"/>
</calcChain>
</file>

<file path=xl/sharedStrings.xml><?xml version="1.0" encoding="utf-8"?>
<sst xmlns="http://schemas.openxmlformats.org/spreadsheetml/2006/main" count="97" uniqueCount="48">
  <si>
    <t>Ishikawa Diagram</t>
  </si>
  <si>
    <t>Process or Area:</t>
  </si>
  <si>
    <t>Authored by:</t>
  </si>
  <si>
    <t>(Root cause)</t>
  </si>
  <si>
    <t>Owner</t>
  </si>
  <si>
    <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</si>
  <si>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</si>
  <si>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</si>
  <si>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</si>
  <si>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</si>
  <si>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</si>
  <si>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Ishikawa Diagram Template</t>
  </si>
  <si>
    <t>Do not delete this worksheet.</t>
  </si>
  <si>
    <t>Action</t>
  </si>
  <si>
    <t>Status</t>
  </si>
  <si>
    <t>James</t>
  </si>
  <si>
    <t>Enter action here</t>
  </si>
  <si>
    <t>Not Started</t>
  </si>
  <si>
    <t>Mary</t>
  </si>
  <si>
    <t>Second action here</t>
  </si>
  <si>
    <t>In Progress</t>
  </si>
  <si>
    <t>Louise</t>
  </si>
  <si>
    <t>Numbers will automatically appear to the left</t>
  </si>
  <si>
    <t>Complete</t>
  </si>
  <si>
    <t>Statuses</t>
  </si>
  <si>
    <t>Root Cause Analysis</t>
  </si>
  <si>
    <t>(Fishbone Diagram)</t>
  </si>
  <si>
    <t>People</t>
  </si>
  <si>
    <t>Information</t>
  </si>
  <si>
    <t>Process</t>
  </si>
  <si>
    <t>System</t>
  </si>
  <si>
    <t>Cause 1</t>
  </si>
  <si>
    <t>Cause 2</t>
  </si>
  <si>
    <t>Cause 3</t>
  </si>
  <si>
    <t>Cause 4</t>
  </si>
  <si>
    <t>Cause 5</t>
  </si>
  <si>
    <t>Cause 6</t>
  </si>
  <si>
    <t>Cause 7</t>
  </si>
  <si>
    <t>Cause 8</t>
  </si>
  <si>
    <t>Note your problem or opportunity here.</t>
  </si>
  <si>
    <t>Problem or Opportunity</t>
  </si>
  <si>
    <t>Root Cause(s)</t>
  </si>
  <si>
    <t>Number of Causes:</t>
  </si>
  <si>
    <r>
      <t xml:space="preserve">1. 
2. 
3. </t>
    </r>
    <r>
      <rPr>
        <i/>
        <sz val="12"/>
        <color theme="1"/>
        <rFont val="Calibri"/>
        <family val="2"/>
        <scheme val="minor"/>
      </rPr>
      <t>Etc</t>
    </r>
  </si>
  <si>
    <t>Action Item</t>
  </si>
  <si>
    <t>Blocked</t>
  </si>
  <si>
    <t>Dropdown List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</si>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</sst>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0"/>
      <name val="Calibri"/>
      <family val="2"/>
      <scheme val="minor"/>
    </font>
    <font>
      <sz val="11"/>
      <color theme="0"/>
      <name val="Calibri"/>
      <family val="2"/>
      <scheme val="minor"/>
    </font>
    <font>
      <sz val="20"/>
      <color theme="0"/>
      <name val="Calibri"/>
      <family val="2"/>
      <scheme val="minor"/>
    </font>
    <font>
      <i/>
      <sz val="20"/>
      <color theme="0"/>
      <name val="Calibri"/>
      <family val="2"/>
      <scheme val="minor"/>
    </font>
    <font>
      <sz val="11"/>
      <color theme="3"/>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b/>
      <sz val="11"/>
      <color theme="1"/>
      <name val="Calibri"/>
      <family val="2"/>
      <scheme val="minor"/>
    </font>
    <font>
      <b/>
      <sz val="14"/>
      <color theme="0"/>
      <name val="Calibri"/>
      <family val="2"/>
      <scheme val="minor"/>
    </font>
    <font>
      <b/>
      <sz val="20"/>
      <color theme="0"/>
      <name val="Calibri"/>
      <family val="2"/>
      <scheme val="minor"/>
    </font>
    <font>
      <b/>
      <sz val="12"/>
      <color theme="1" tint="0.34998626667073579"/>
      <name val="Calibri"/>
      <family val="2"/>
      <scheme val="minor"/>
    </font>
    <font>
      <i/>
      <sz val="13"/>
      <color theme="1" tint="0.249977111117893"/>
      <name val="Calibri"/>
      <family val="2"/>
      <scheme val="minor"/>
    </font>
    <font>
      <sz val="12"/>
      <color theme="1" tint="0.249977111117893"/>
      <name val="Calibri"/>
      <family val="2"/>
      <scheme val="minor"/>
    </font>
    <font>
      <i/>
      <sz val="14"/>
      <color theme="0"/>
      <name val="Calibri"/>
      <family val="2"/>
      <scheme val="minor"/>
    </font>
    <font>
      <sz val="11"/>
      <color theme="1" tint="0.34998626667073579"/>
      <name val="Calibri"/>
      <family val="2"/>
      <scheme val="minor"/>
    </font>
    <font>
      <sz val="16"/>
      <color theme="1"/>
      <name val="Calibri"/>
      <family val="2"/>
      <scheme val="minor"/>
    </font>
    <font>
      <sz val="12"/>
      <color theme="0" tint="-0.34998626667073579"/>
      <name val="Calibri"/>
      <family val="2"/>
      <scheme val="minor"/>
    </font>
    <font>
      <sz val="12"/>
      <color theme="1"/>
      <name val="Calibri"/>
      <family val="2"/>
      <scheme val="minor"/>
    </font>
    <font>
      <i/>
      <sz val="11"/>
      <color theme="1"/>
      <name val="Calibri"/>
      <family val="2"/>
      <scheme val="minor"/>
    </font>
    <font>
      <sz val="14"/>
      <color theme="1"/>
      <name val="Calibri"/>
      <family val="2"/>
      <scheme val="minor"/>
    </font>
    <font>
      <sz val="16"/>
      <color theme="0"/>
      <name val="Calibri"/>
      <family val="2"/>
      <scheme val="minor"/>
    </font>
    <font>
      <i/>
      <sz val="12"/>
      <color theme="1"/>
      <name val="Calibri"/>
      <family val="2"/>
      <scheme val="minor"/>
    </font>
    <font>
      <b/>
      <sz val="16"/>
      <color theme="0"/>
      <name val="Calibri"/>
      <family val="2"/>
      <scheme val="minor"/>
    </font>
  </fonts>
  <fills count="14">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3" tint="0.59999389629810485"/>
        <bgColor indexed="64"/>
      </patternFill>
    </fill>
    <fill>
      <patternFill patternType="solid">
        <fgColor rgb="FF8FB9AB"/>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B3C9BE"/>
        <bgColor indexed="64"/>
      </patternFill>
    </fill>
    <fill>
      <patternFill patternType="solid">
        <fgColor theme="0" tint="-0.14999847407452621"/>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medium">
        <color theme="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thin">
        <color indexed="64"/>
      </left>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right style="medium">
        <color indexed="64"/>
      </right>
      <top style="medium">
        <color indexed="64"/>
      </top>
      <bottom style="dotted">
        <color indexed="64"/>
      </bottom>
      <diagonal/>
    </border>
    <border>
      <left style="medium">
        <color indexed="64"/>
      </left>
      <right/>
      <top/>
      <bottom/>
      <diagonal/>
    </border>
    <border>
      <left/>
      <right/>
      <top style="dotted">
        <color theme="0" tint="-0.499984740745262"/>
      </top>
      <bottom style="dotted">
        <color theme="0"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dotted">
        <color theme="0" tint="-0.499984740745262"/>
      </top>
      <bottom style="medium">
        <color indexed="64"/>
      </bottom>
      <diagonal/>
    </border>
    <border>
      <left style="medium">
        <color indexed="64"/>
      </left>
      <right/>
      <top/>
      <bottom style="medium">
        <color indexed="64"/>
      </bottom>
      <diagonal/>
    </border>
    <border>
      <left/>
      <right/>
      <top style="dotted">
        <color theme="0" tint="-0.499984740745262"/>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1">
    <xf numFmtId="0" fontId="0" fillId="0" borderId="0"/>
  </cellStyleXfs>
  <cellXfs count="103">
    <xf numFmtId="0" fontId="0" fillId="0" borderId="0" xfId="0"/>
    <xf numFmtId="0" fontId="0" fillId="2" borderId="0" xfId="0" applyFill="1"/>
    <xf numFmtId="0" fontId="2" fillId="2" borderId="0" xfId="0" applyFont="1" applyFill="1"/>
    <xf numFmtId="0" fontId="3" fillId="2" borderId="0" xfId="0" applyFont="1" applyFill="1"/>
    <xf numFmtId="0" fontId="1" fillId="2" borderId="0" xfId="0" applyFont="1" applyFill="1" applyAlignment="1">
      <alignment horizontal="right" vertical="center"/>
    </xf>
    <xf numFmtId="0" fontId="2" fillId="2" borderId="0" xfId="0" applyFont="1" applyFill="1" applyAlignment="1">
      <alignment vertical="center"/>
    </xf>
    <xf numFmtId="0" fontId="0" fillId="0" borderId="0" xfId="0" applyAlignment="1">
      <alignment vertical="center"/>
    </xf>
    <xf numFmtId="0" fontId="0" fillId="4" borderId="0" xfId="0" applyFill="1"/>
    <xf numFmtId="0" fontId="3" fillId="4" borderId="0" xfId="0" applyFont="1" applyFill="1" applyAlignment="1">
      <alignment vertical="center"/>
    </xf>
    <xf numFmtId="0" fontId="0" fillId="4" borderId="0" xfId="0" applyFill="1" applyAlignment="1">
      <alignment vertical="center"/>
    </xf>
    <xf numFmtId="0" fontId="6" fillId="2" borderId="0" xfId="0" applyFont="1" applyFill="1"/>
    <xf numFmtId="0" fontId="7" fillId="2" borderId="0" xfId="0" applyFont="1" applyFill="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8" fillId="3" borderId="0" xfId="0" applyFont="1" applyFill="1" applyAlignment="1">
      <alignment vertical="center" wrapText="1"/>
    </xf>
    <xf numFmtId="0" fontId="11" fillId="3" borderId="9" xfId="0" applyFont="1" applyFill="1" applyBorder="1" applyAlignment="1">
      <alignment vertical="center"/>
    </xf>
    <xf numFmtId="0" fontId="13" fillId="5" borderId="10"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5" xfId="0" applyFont="1" applyFill="1" applyBorder="1" applyAlignment="1">
      <alignment horizontal="center" vertical="center"/>
    </xf>
    <xf numFmtId="0" fontId="0" fillId="6" borderId="0" xfId="0" applyFill="1" applyAlignment="1">
      <alignment horizontal="left" vertical="center"/>
    </xf>
    <xf numFmtId="0" fontId="12" fillId="6" borderId="0" xfId="0" applyFont="1" applyFill="1" applyAlignment="1">
      <alignment vertical="center"/>
    </xf>
    <xf numFmtId="0" fontId="0" fillId="6" borderId="0" xfId="0" applyFill="1"/>
    <xf numFmtId="0" fontId="4" fillId="0" borderId="0" xfId="0" applyFont="1" applyAlignment="1">
      <alignment vertical="center"/>
    </xf>
    <xf numFmtId="0" fontId="5" fillId="2" borderId="0" xfId="0" applyFont="1" applyFill="1" applyAlignment="1">
      <alignment vertical="center"/>
    </xf>
    <xf numFmtId="0" fontId="1" fillId="2" borderId="0" xfId="0" applyFont="1" applyFill="1" applyAlignment="1">
      <alignment horizontal="right" vertical="center" indent="1"/>
    </xf>
    <xf numFmtId="0" fontId="2" fillId="0" borderId="0" xfId="0" applyFont="1"/>
    <xf numFmtId="0" fontId="20" fillId="7" borderId="10" xfId="0" applyFont="1" applyFill="1" applyBorder="1" applyAlignment="1">
      <alignment horizontal="center" vertical="center"/>
    </xf>
    <xf numFmtId="0" fontId="0" fillId="0" borderId="24" xfId="0" applyBorder="1"/>
    <xf numFmtId="0" fontId="20" fillId="8" borderId="10" xfId="0" applyFont="1" applyFill="1" applyBorder="1" applyAlignment="1">
      <alignment horizontal="center" vertical="center"/>
    </xf>
    <xf numFmtId="0" fontId="20" fillId="9" borderId="10" xfId="0" applyFont="1" applyFill="1" applyBorder="1" applyAlignment="1">
      <alignment horizontal="center" vertical="center"/>
    </xf>
    <xf numFmtId="0" fontId="20" fillId="10" borderId="10" xfId="0" applyFont="1" applyFill="1" applyBorder="1" applyAlignment="1">
      <alignment horizontal="center" vertical="center"/>
    </xf>
    <xf numFmtId="0" fontId="21" fillId="0" borderId="0" xfId="0" applyFont="1" applyAlignment="1">
      <alignment horizontal="right" vertical="center" indent="1"/>
    </xf>
    <xf numFmtId="0" fontId="22" fillId="0" borderId="0" xfId="0" applyFont="1" applyAlignment="1">
      <alignment horizontal="left" vertical="center" wrapText="1"/>
    </xf>
    <xf numFmtId="0" fontId="21" fillId="0" borderId="24" xfId="0" applyFont="1" applyBorder="1" applyAlignment="1">
      <alignment horizontal="right" vertical="center" indent="1"/>
    </xf>
    <xf numFmtId="0" fontId="22" fillId="0" borderId="25" xfId="0" applyFont="1" applyBorder="1" applyAlignment="1">
      <alignment horizontal="left" vertical="center" wrapText="1"/>
    </xf>
    <xf numFmtId="0" fontId="22" fillId="0" borderId="29" xfId="0" applyFont="1" applyBorder="1" applyAlignment="1">
      <alignment horizontal="left" vertical="center" wrapText="1"/>
    </xf>
    <xf numFmtId="0" fontId="21" fillId="0" borderId="30" xfId="0" applyFont="1" applyBorder="1" applyAlignment="1">
      <alignment horizontal="right" vertical="center" indent="1"/>
    </xf>
    <xf numFmtId="0" fontId="22" fillId="0" borderId="31" xfId="0" applyFont="1" applyBorder="1" applyAlignment="1">
      <alignment horizontal="left" vertical="center" wrapText="1"/>
    </xf>
    <xf numFmtId="0" fontId="0" fillId="0" borderId="30" xfId="0" applyBorder="1"/>
    <xf numFmtId="0" fontId="20" fillId="11" borderId="10" xfId="0" applyFont="1" applyFill="1" applyBorder="1"/>
    <xf numFmtId="0" fontId="22" fillId="0" borderId="0" xfId="0" applyFont="1" applyAlignment="1">
      <alignment horizontal="right" vertical="center" wrapText="1"/>
    </xf>
    <xf numFmtId="0" fontId="24" fillId="0" borderId="0" xfId="0" applyFont="1" applyAlignment="1">
      <alignment horizontal="center" vertical="center"/>
    </xf>
    <xf numFmtId="0" fontId="0" fillId="0" borderId="0" xfId="0" applyAlignment="1">
      <alignment horizontal="center"/>
    </xf>
    <xf numFmtId="0" fontId="25" fillId="12" borderId="28" xfId="0" applyFont="1" applyFill="1" applyBorder="1" applyAlignment="1">
      <alignment horizontal="center" vertical="center"/>
    </xf>
    <xf numFmtId="0" fontId="22" fillId="0" borderId="0" xfId="0" applyFont="1" applyAlignment="1">
      <alignment horizontal="right" vertical="top" wrapText="1"/>
    </xf>
    <xf numFmtId="0" fontId="22" fillId="0" borderId="10" xfId="0" applyFont="1" applyBorder="1" applyAlignment="1">
      <alignment horizontal="left" vertical="center" wrapText="1"/>
    </xf>
    <xf numFmtId="0" fontId="27" fillId="12" borderId="10" xfId="0" applyFont="1" applyFill="1" applyBorder="1" applyAlignment="1">
      <alignment horizontal="center" vertical="center"/>
    </xf>
    <xf numFmtId="0" fontId="12" fillId="13" borderId="0" xfId="0" applyFont="1" applyFill="1" applyAlignment="1">
      <alignment horizontal="center" vertical="center"/>
    </xf>
    <xf numFmtId="0" fontId="0" fillId="6" borderId="0" xfId="0" applyFill="1" applyAlignment="1">
      <alignment horizontal="center" vertical="center"/>
    </xf>
    <xf numFmtId="0" fontId="17" fillId="0" borderId="19" xfId="0" applyFont="1" applyBorder="1" applyAlignment="1">
      <alignment horizontal="left" vertical="center" wrapText="1" indent="1"/>
    </xf>
    <xf numFmtId="0" fontId="17" fillId="0" borderId="20" xfId="0" applyFont="1" applyBorder="1" applyAlignment="1">
      <alignment horizontal="left" vertical="center" wrapText="1" indent="1"/>
    </xf>
    <xf numFmtId="0" fontId="17" fillId="0" borderId="21" xfId="0" applyFont="1" applyBorder="1" applyAlignment="1">
      <alignment horizontal="left" vertical="center" wrapText="1" indent="1"/>
    </xf>
    <xf numFmtId="0" fontId="17" fillId="0" borderId="22" xfId="0" applyFont="1" applyBorder="1" applyAlignment="1">
      <alignment horizontal="left" vertical="center" wrapText="1" indent="1"/>
    </xf>
    <xf numFmtId="0" fontId="16" fillId="0" borderId="18" xfId="0" applyFont="1" applyBorder="1" applyAlignment="1">
      <alignment horizontal="center" vertical="center" wrapText="1"/>
    </xf>
    <xf numFmtId="0" fontId="17" fillId="0" borderId="20" xfId="0" applyFont="1" applyBorder="1" applyAlignment="1">
      <alignment horizontal="center" vertical="center"/>
    </xf>
    <xf numFmtId="0" fontId="17" fillId="0" borderId="14" xfId="0" applyFont="1" applyBorder="1" applyAlignment="1">
      <alignment horizontal="center" vertical="center"/>
    </xf>
    <xf numFmtId="0" fontId="17" fillId="0" borderId="22" xfId="0" applyFont="1" applyBorder="1" applyAlignment="1">
      <alignment horizontal="center" vertical="center"/>
    </xf>
    <xf numFmtId="0" fontId="17" fillId="0" borderId="16" xfId="0" applyFont="1" applyBorder="1" applyAlignment="1">
      <alignment horizontal="center" vertical="center"/>
    </xf>
    <xf numFmtId="0" fontId="16" fillId="0" borderId="20" xfId="0" applyFont="1" applyBorder="1" applyAlignment="1">
      <alignment horizontal="center" vertical="center" wrapText="1"/>
    </xf>
    <xf numFmtId="0" fontId="16" fillId="0" borderId="22" xfId="0" applyFont="1" applyBorder="1" applyAlignment="1">
      <alignment horizontal="center" vertical="center" wrapText="1"/>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8" xfId="0" applyFont="1" applyFill="1" applyBorder="1" applyAlignment="1">
      <alignment horizontal="center" vertical="center"/>
    </xf>
    <xf numFmtId="0" fontId="4" fillId="2" borderId="0" xfId="0" applyFont="1" applyFill="1" applyAlignment="1">
      <alignment horizontal="center" vertical="center"/>
    </xf>
    <xf numFmtId="0" fontId="5" fillId="3" borderId="1" xfId="0" applyFont="1" applyFill="1" applyBorder="1" applyAlignment="1">
      <alignment horizontal="left" vertical="center" indent="1"/>
    </xf>
    <xf numFmtId="0" fontId="5" fillId="3" borderId="2" xfId="0" applyFont="1" applyFill="1" applyBorder="1" applyAlignment="1">
      <alignment horizontal="left" vertical="center" indent="1"/>
    </xf>
    <xf numFmtId="0" fontId="5" fillId="3" borderId="3" xfId="0" applyFont="1" applyFill="1" applyBorder="1" applyAlignment="1">
      <alignment horizontal="left" vertical="center" indent="1"/>
    </xf>
    <xf numFmtId="0" fontId="14" fillId="5" borderId="7" xfId="0" applyFont="1" applyFill="1" applyBorder="1" applyAlignment="1">
      <alignment horizontal="center" vertical="center"/>
    </xf>
    <xf numFmtId="0" fontId="14" fillId="5" borderId="6" xfId="0" applyFont="1" applyFill="1" applyBorder="1" applyAlignment="1">
      <alignment horizontal="center" vertical="center"/>
    </xf>
    <xf numFmtId="0" fontId="17" fillId="0" borderId="12" xfId="0" applyFont="1" applyBorder="1" applyAlignment="1">
      <alignment horizontal="center" vertical="center"/>
    </xf>
    <xf numFmtId="0" fontId="17" fillId="0" borderId="23" xfId="0" applyFont="1" applyBorder="1" applyAlignment="1">
      <alignment horizontal="center" vertical="center"/>
    </xf>
    <xf numFmtId="0" fontId="14" fillId="5" borderId="4" xfId="0" applyFont="1" applyFill="1" applyBorder="1" applyAlignment="1">
      <alignment horizontal="center" vertical="center"/>
    </xf>
    <xf numFmtId="0" fontId="14" fillId="5" borderId="5" xfId="0" applyFont="1" applyFill="1" applyBorder="1" applyAlignment="1">
      <alignment horizontal="center" vertical="center"/>
    </xf>
    <xf numFmtId="0" fontId="17" fillId="0" borderId="17" xfId="0" applyFont="1" applyBorder="1" applyAlignment="1">
      <alignment horizontal="left" vertical="center" wrapText="1" indent="1"/>
    </xf>
    <xf numFmtId="0" fontId="17" fillId="0" borderId="18" xfId="0" applyFont="1" applyBorder="1" applyAlignment="1">
      <alignment horizontal="left" vertical="center" wrapText="1" indent="1"/>
    </xf>
    <xf numFmtId="0" fontId="27" fillId="12" borderId="4" xfId="0" applyFont="1" applyFill="1" applyBorder="1" applyAlignment="1">
      <alignment horizontal="center" vertical="center"/>
    </xf>
    <xf numFmtId="0" fontId="27" fillId="12" borderId="5" xfId="0" applyFont="1" applyFill="1" applyBorder="1" applyAlignment="1">
      <alignment horizontal="center" vertical="center"/>
    </xf>
    <xf numFmtId="0" fontId="27" fillId="12" borderId="8" xfId="0" applyFont="1" applyFill="1" applyBorder="1" applyAlignment="1">
      <alignment horizontal="center" vertical="center"/>
    </xf>
    <xf numFmtId="0" fontId="25" fillId="12" borderId="7" xfId="0" applyFont="1" applyFill="1" applyBorder="1" applyAlignment="1">
      <alignment horizontal="center" vertical="center"/>
    </xf>
    <xf numFmtId="0" fontId="25" fillId="12" borderId="5" xfId="0" applyFont="1" applyFill="1" applyBorder="1" applyAlignment="1">
      <alignment horizontal="center" vertical="center"/>
    </xf>
    <xf numFmtId="0" fontId="25" fillId="12" borderId="8" xfId="0" applyFont="1" applyFill="1" applyBorder="1" applyAlignment="1">
      <alignment horizontal="center" vertical="center"/>
    </xf>
    <xf numFmtId="0" fontId="27" fillId="12" borderId="7" xfId="0" applyFont="1" applyFill="1" applyBorder="1" applyAlignment="1">
      <alignment horizontal="center" vertical="center"/>
    </xf>
    <xf numFmtId="0" fontId="27" fillId="12" borderId="6" xfId="0" applyFont="1" applyFill="1" applyBorder="1" applyAlignment="1">
      <alignment horizontal="center" vertical="center"/>
    </xf>
    <xf numFmtId="0" fontId="18" fillId="2" borderId="0" xfId="0" applyFont="1" applyFill="1" applyAlignment="1">
      <alignment horizontal="center" vertical="center"/>
    </xf>
    <xf numFmtId="0" fontId="19" fillId="3" borderId="1" xfId="0" applyFont="1" applyFill="1" applyBorder="1" applyAlignment="1">
      <alignment horizontal="left" vertical="center" indent="1"/>
    </xf>
    <xf numFmtId="0" fontId="19" fillId="3" borderId="3" xfId="0" applyFont="1" applyFill="1" applyBorder="1" applyAlignment="1">
      <alignment horizontal="left" vertical="center" indent="1"/>
    </xf>
    <xf numFmtId="0" fontId="23" fillId="0" borderId="26"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34"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0"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43" xfId="0" applyFont="1" applyBorder="1" applyAlignment="1">
      <alignment horizontal="center" vertical="center"/>
    </xf>
    <xf numFmtId="0" fontId="17" fillId="0" borderId="44" xfId="0" applyFont="1" applyBorder="1" applyAlignment="1">
      <alignment horizontal="center" vertical="center"/>
    </xf>
  </cellXfs>
  <cellStyles count="1">
    <cellStyle name="Normal" xfId="0" builtinId="0"/>
  </cellStyles>
  <dxfs count="10">
    <dxf>
      <fill>
        <patternFill>
          <bgColor theme="7" tint="0.79998168889431442"/>
        </patternFill>
      </fill>
    </dxf>
    <dxf>
      <fill>
        <patternFill>
          <bgColor rgb="FFDAF0E6"/>
        </patternFill>
      </fill>
    </dxf>
    <dxf>
      <fill>
        <patternFill>
          <bgColor theme="5" tint="0.79998168889431442"/>
        </patternFill>
      </fill>
    </dxf>
    <dxf>
      <fill>
        <patternFill>
          <bgColor theme="6" tint="0.79998168889431442"/>
        </patternFill>
      </fill>
    </dxf>
    <dxf>
      <fill>
        <patternFill>
          <bgColor theme="5" tint="0.79998168889431442"/>
        </patternFill>
      </fill>
    </dxf>
    <dxf>
      <fill>
        <patternFill>
          <bgColor theme="7" tint="0.79998168889431442"/>
        </patternFill>
      </fill>
    </dxf>
    <dxf>
      <fill>
        <patternFill>
          <bgColor rgb="FFDAF0E6"/>
        </patternFill>
      </fill>
    </dxf>
    <dxf>
      <fill>
        <patternFill>
          <bgColor theme="5" tint="0.79998168889431442"/>
        </patternFill>
      </fill>
    </dxf>
    <dxf>
      <fill>
        <patternFill>
          <bgColor theme="7" tint="0.79998168889431442"/>
        </patternFill>
      </fill>
    </dxf>
    <dxf>
      <fill>
        <patternFill>
          <bgColor rgb="FFDAF0E6"/>
        </patternFill>
      </fill>
    </dxf>
  </dxfs>
  <tableStyles count="0" defaultTableStyle="TableStyleMedium2" defaultPivotStyle="PivotStyleLight16"/>
  <colors>
    <mruColors>
      <color rgb="FF8FB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179291</xdr:colOff>
      <xdr:row>5</xdr:row>
      <xdr:rowOff>137160</xdr:rowOff>
    </xdr:from>
    <xdr:to>
      <xdr:col>13</xdr:col>
      <xdr:colOff>537880</xdr:colOff>
      <xdr:row>34</xdr:row>
      <xdr:rowOff>38100</xdr:rowOff>
    </xdr:to>
    <xdr:grpSp>
      <xdr:nvGrpSpPr>
        <xdr:cNvPr id="93" name="Group 92">
          <a:extLst>
            <a:ext uri="{FF2B5EF4-FFF2-40B4-BE49-F238E27FC236}">
              <a16:creationId xmlns:a16="http://schemas.microsoft.com/office/drawing/2014/main" id="{00000000-0008-0000-0000-00005D000000}"/>
            </a:ext>
          </a:extLst>
        </xdr:cNvPr>
        <xdr:cNvGrpSpPr/>
      </xdr:nvGrpSpPr>
      <xdr:grpSpPr>
        <a:xfrm>
          <a:off x="179291" y="1043940"/>
          <a:ext cx="8283389" cy="5204460"/>
          <a:chOff x="179291" y="1042595"/>
          <a:chExt cx="8283389" cy="5100470"/>
        </a:xfrm>
      </xdr:grpSpPr>
      <xdr:sp macro="" textlink="">
        <xdr:nvSpPr>
          <xdr:cNvPr id="2" name="Flowchart: Delay 1">
            <a:extLst>
              <a:ext uri="{FF2B5EF4-FFF2-40B4-BE49-F238E27FC236}">
                <a16:creationId xmlns:a16="http://schemas.microsoft.com/office/drawing/2014/main" id="{00000000-0008-0000-0000-000002000000}"/>
              </a:ext>
            </a:extLst>
          </xdr:cNvPr>
          <xdr:cNvSpPr/>
        </xdr:nvSpPr>
        <xdr:spPr>
          <a:xfrm>
            <a:off x="7235860" y="3171265"/>
            <a:ext cx="1226820" cy="881230"/>
          </a:xfrm>
          <a:prstGeom prst="flowChartDelay">
            <a:avLst/>
          </a:prstGeom>
          <a:solidFill>
            <a:schemeClr val="accent3">
              <a:lumMod val="20000"/>
              <a:lumOff val="80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1200">
                <a:solidFill>
                  <a:schemeClr val="tx1">
                    <a:lumMod val="65000"/>
                    <a:lumOff val="35000"/>
                  </a:schemeClr>
                </a:solidFill>
              </a:rPr>
              <a:t>Problem or Opportunity</a:t>
            </a:r>
          </a:p>
        </xdr:txBody>
      </xdr:sp>
      <xdr:cxnSp macro="">
        <xdr:nvCxnSpPr>
          <xdr:cNvPr id="4" name="Straight Connector 3">
            <a:extLst>
              <a:ext uri="{FF2B5EF4-FFF2-40B4-BE49-F238E27FC236}">
                <a16:creationId xmlns:a16="http://schemas.microsoft.com/office/drawing/2014/main" id="{00000000-0008-0000-0000-000004000000}"/>
              </a:ext>
            </a:extLst>
          </xdr:cNvPr>
          <xdr:cNvCxnSpPr>
            <a:stCxn id="2" idx="1"/>
          </xdr:cNvCxnSpPr>
        </xdr:nvCxnSpPr>
        <xdr:spPr>
          <a:xfrm flipH="1">
            <a:off x="1757080" y="3610087"/>
            <a:ext cx="5478780"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flipH="1" flipV="1">
            <a:off x="4523140" y="1439284"/>
            <a:ext cx="1981200" cy="2170803"/>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000-00000E000000}"/>
              </a:ext>
            </a:extLst>
          </xdr:cNvPr>
          <xdr:cNvCxnSpPr/>
        </xdr:nvCxnSpPr>
        <xdr:spPr>
          <a:xfrm flipH="1" flipV="1">
            <a:off x="1162720" y="1439284"/>
            <a:ext cx="1981200" cy="2170803"/>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00000000-0008-0000-0000-000015000000}"/>
              </a:ext>
            </a:extLst>
          </xdr:cNvPr>
          <xdr:cNvCxnSpPr/>
        </xdr:nvCxnSpPr>
        <xdr:spPr>
          <a:xfrm flipH="1">
            <a:off x="1170340" y="3602467"/>
            <a:ext cx="1973580" cy="2139875"/>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00000000-0008-0000-0000-000017000000}"/>
              </a:ext>
            </a:extLst>
          </xdr:cNvPr>
          <xdr:cNvCxnSpPr/>
        </xdr:nvCxnSpPr>
        <xdr:spPr>
          <a:xfrm flipH="1">
            <a:off x="4523140" y="3617707"/>
            <a:ext cx="1973580" cy="2136289"/>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sp macro="" textlink="">
        <xdr:nvSpPr>
          <xdr:cNvPr id="24" name="Rounded Rectangle 23">
            <a:extLst>
              <a:ext uri="{FF2B5EF4-FFF2-40B4-BE49-F238E27FC236}">
                <a16:creationId xmlns:a16="http://schemas.microsoft.com/office/drawing/2014/main" id="{00000000-0008-0000-0000-000018000000}"/>
              </a:ext>
            </a:extLst>
          </xdr:cNvPr>
          <xdr:cNvSpPr/>
        </xdr:nvSpPr>
        <xdr:spPr>
          <a:xfrm>
            <a:off x="621700" y="1042595"/>
            <a:ext cx="1120140" cy="389069"/>
          </a:xfrm>
          <a:prstGeom prst="roundRect">
            <a:avLst/>
          </a:prstGeom>
          <a:solidFill>
            <a:schemeClr val="accent2">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People</a:t>
            </a:r>
          </a:p>
        </xdr:txBody>
      </xdr:sp>
      <xdr:sp macro="" textlink="">
        <xdr:nvSpPr>
          <xdr:cNvPr id="25" name="Rounded Rectangle 24">
            <a:extLst>
              <a:ext uri="{FF2B5EF4-FFF2-40B4-BE49-F238E27FC236}">
                <a16:creationId xmlns:a16="http://schemas.microsoft.com/office/drawing/2014/main" id="{00000000-0008-0000-0000-000019000000}"/>
              </a:ext>
            </a:extLst>
          </xdr:cNvPr>
          <xdr:cNvSpPr/>
        </xdr:nvSpPr>
        <xdr:spPr>
          <a:xfrm>
            <a:off x="3982120" y="1050215"/>
            <a:ext cx="1120140" cy="389069"/>
          </a:xfrm>
          <a:prstGeom prst="roundRect">
            <a:avLst/>
          </a:prstGeom>
          <a:solidFill>
            <a:schemeClr val="accent4">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Information</a:t>
            </a:r>
          </a:p>
        </xdr:txBody>
      </xdr:sp>
      <xdr:sp macro="" textlink="">
        <xdr:nvSpPr>
          <xdr:cNvPr id="26" name="Rounded Rectangle 25">
            <a:extLst>
              <a:ext uri="{FF2B5EF4-FFF2-40B4-BE49-F238E27FC236}">
                <a16:creationId xmlns:a16="http://schemas.microsoft.com/office/drawing/2014/main" id="{00000000-0008-0000-0000-00001A000000}"/>
              </a:ext>
            </a:extLst>
          </xdr:cNvPr>
          <xdr:cNvSpPr/>
        </xdr:nvSpPr>
        <xdr:spPr>
          <a:xfrm>
            <a:off x="606460" y="5734722"/>
            <a:ext cx="1120140" cy="385483"/>
          </a:xfrm>
          <a:prstGeom prst="roundRect">
            <a:avLst/>
          </a:prstGeom>
          <a:solidFill>
            <a:schemeClr val="accent5">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Process</a:t>
            </a:r>
          </a:p>
        </xdr:txBody>
      </xdr:sp>
      <xdr:sp macro="" textlink="">
        <xdr:nvSpPr>
          <xdr:cNvPr id="27" name="Rounded Rectangle 26">
            <a:extLst>
              <a:ext uri="{FF2B5EF4-FFF2-40B4-BE49-F238E27FC236}">
                <a16:creationId xmlns:a16="http://schemas.microsoft.com/office/drawing/2014/main" id="{00000000-0008-0000-0000-00001B000000}"/>
              </a:ext>
            </a:extLst>
          </xdr:cNvPr>
          <xdr:cNvSpPr/>
        </xdr:nvSpPr>
        <xdr:spPr>
          <a:xfrm>
            <a:off x="3989740" y="5753996"/>
            <a:ext cx="1120140" cy="389069"/>
          </a:xfrm>
          <a:prstGeom prst="roundRect">
            <a:avLst/>
          </a:prstGeom>
          <a:solidFill>
            <a:schemeClr val="accent6">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System</a:t>
            </a:r>
          </a:p>
        </xdr:txBody>
      </xdr:sp>
      <xdr:sp macro="" textlink="">
        <xdr:nvSpPr>
          <xdr:cNvPr id="41" name="Isosceles Triangle 40">
            <a:extLst>
              <a:ext uri="{FF2B5EF4-FFF2-40B4-BE49-F238E27FC236}">
                <a16:creationId xmlns:a16="http://schemas.microsoft.com/office/drawing/2014/main" id="{00000000-0008-0000-0000-000029000000}"/>
              </a:ext>
            </a:extLst>
          </xdr:cNvPr>
          <xdr:cNvSpPr/>
        </xdr:nvSpPr>
        <xdr:spPr>
          <a:xfrm rot="5400000">
            <a:off x="1376736" y="3413128"/>
            <a:ext cx="419136" cy="383795"/>
          </a:xfrm>
          <a:prstGeom prst="triangle">
            <a:avLst/>
          </a:prstGeom>
          <a:solidFill>
            <a:schemeClr val="bg1">
              <a:lumMod val="95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42" name="Straight Connector 41">
            <a:extLst>
              <a:ext uri="{FF2B5EF4-FFF2-40B4-BE49-F238E27FC236}">
                <a16:creationId xmlns:a16="http://schemas.microsoft.com/office/drawing/2014/main" id="{00000000-0008-0000-0000-00002A000000}"/>
              </a:ext>
            </a:extLst>
          </xdr:cNvPr>
          <xdr:cNvCxnSpPr/>
        </xdr:nvCxnSpPr>
        <xdr:spPr>
          <a:xfrm flipH="1">
            <a:off x="1452280" y="415469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00000000-0008-0000-0000-00002C000000}"/>
              </a:ext>
            </a:extLst>
          </xdr:cNvPr>
          <xdr:cNvCxnSpPr/>
        </xdr:nvCxnSpPr>
        <xdr:spPr>
          <a:xfrm flipH="1">
            <a:off x="1075762" y="4692575"/>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00000000-0008-0000-0000-00002D000000}"/>
              </a:ext>
            </a:extLst>
          </xdr:cNvPr>
          <xdr:cNvCxnSpPr/>
        </xdr:nvCxnSpPr>
        <xdr:spPr>
          <a:xfrm flipH="1">
            <a:off x="672350" y="521252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00000000-0008-0000-0000-00002E000000}"/>
              </a:ext>
            </a:extLst>
          </xdr:cNvPr>
          <xdr:cNvCxnSpPr/>
        </xdr:nvCxnSpPr>
        <xdr:spPr>
          <a:xfrm flipH="1">
            <a:off x="259974" y="570558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00000000-0008-0000-0000-00002F000000}"/>
              </a:ext>
            </a:extLst>
          </xdr:cNvPr>
          <xdr:cNvCxnSpPr/>
        </xdr:nvCxnSpPr>
        <xdr:spPr>
          <a:xfrm flipH="1">
            <a:off x="4706468" y="415065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00000000-0008-0000-0000-000030000000}"/>
              </a:ext>
            </a:extLst>
          </xdr:cNvPr>
          <xdr:cNvCxnSpPr/>
        </xdr:nvCxnSpPr>
        <xdr:spPr>
          <a:xfrm flipH="1">
            <a:off x="4294091" y="467957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00000000-0008-0000-0000-000031000000}"/>
              </a:ext>
            </a:extLst>
          </xdr:cNvPr>
          <xdr:cNvCxnSpPr/>
        </xdr:nvCxnSpPr>
        <xdr:spPr>
          <a:xfrm flipH="1">
            <a:off x="3881715" y="5226424"/>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00000000-0008-0000-0000-000032000000}"/>
              </a:ext>
            </a:extLst>
          </xdr:cNvPr>
          <xdr:cNvCxnSpPr/>
        </xdr:nvCxnSpPr>
        <xdr:spPr>
          <a:xfrm flipH="1">
            <a:off x="3442444" y="571051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00000000-0008-0000-0000-000033000000}"/>
              </a:ext>
            </a:extLst>
          </xdr:cNvPr>
          <xdr:cNvCxnSpPr/>
        </xdr:nvCxnSpPr>
        <xdr:spPr>
          <a:xfrm flipH="1">
            <a:off x="448233" y="1823869"/>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00000000-0008-0000-0000-000034000000}"/>
              </a:ext>
            </a:extLst>
          </xdr:cNvPr>
          <xdr:cNvCxnSpPr/>
        </xdr:nvCxnSpPr>
        <xdr:spPr>
          <a:xfrm flipH="1">
            <a:off x="806821" y="2272104"/>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00000000-0008-0000-0000-000035000000}"/>
              </a:ext>
            </a:extLst>
          </xdr:cNvPr>
          <xdr:cNvCxnSpPr/>
        </xdr:nvCxnSpPr>
        <xdr:spPr>
          <a:xfrm flipH="1">
            <a:off x="1165409" y="274723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00000000-0008-0000-0000-000036000000}"/>
              </a:ext>
            </a:extLst>
          </xdr:cNvPr>
          <xdr:cNvCxnSpPr/>
        </xdr:nvCxnSpPr>
        <xdr:spPr>
          <a:xfrm flipH="1">
            <a:off x="1523997" y="31954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00000000-0008-0000-0000-000037000000}"/>
              </a:ext>
            </a:extLst>
          </xdr:cNvPr>
          <xdr:cNvCxnSpPr/>
        </xdr:nvCxnSpPr>
        <xdr:spPr>
          <a:xfrm flipH="1">
            <a:off x="3729315" y="18238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0000000-0008-0000-0000-000038000000}"/>
              </a:ext>
            </a:extLst>
          </xdr:cNvPr>
          <xdr:cNvCxnSpPr/>
        </xdr:nvCxnSpPr>
        <xdr:spPr>
          <a:xfrm flipH="1">
            <a:off x="4025150" y="22810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00000000-0008-0000-0000-000039000000}"/>
              </a:ext>
            </a:extLst>
          </xdr:cNvPr>
          <xdr:cNvCxnSpPr/>
        </xdr:nvCxnSpPr>
        <xdr:spPr>
          <a:xfrm flipH="1">
            <a:off x="4401668" y="2747231"/>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00000000-0008-0000-0000-00003A000000}"/>
              </a:ext>
            </a:extLst>
          </xdr:cNvPr>
          <xdr:cNvCxnSpPr/>
        </xdr:nvCxnSpPr>
        <xdr:spPr>
          <a:xfrm flipH="1">
            <a:off x="4778185" y="320443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4984374" y="1546769"/>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2</a:t>
            </a:r>
          </a:p>
        </xdr:txBody>
      </xdr: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3594843" y="1546769"/>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1</a:t>
            </a:r>
          </a:p>
        </xdr:txBody>
      </xdr:sp>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3863786" y="2030864"/>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3</a:t>
            </a:r>
          </a:p>
        </xdr:txBody>
      </xdr:sp>
      <xdr:sp macro="" textlink="" fLocksText="0">
        <xdr:nvSpPr>
          <xdr:cNvPr id="62" name="TextBox 61">
            <a:extLst>
              <a:ext uri="{FF2B5EF4-FFF2-40B4-BE49-F238E27FC236}">
                <a16:creationId xmlns:a16="http://schemas.microsoft.com/office/drawing/2014/main" id="{00000000-0008-0000-0000-00003E000000}"/>
              </a:ext>
            </a:extLst>
          </xdr:cNvPr>
          <xdr:cNvSpPr txBox="1"/>
        </xdr:nvSpPr>
        <xdr:spPr>
          <a:xfrm>
            <a:off x="5414680" y="2016798"/>
            <a:ext cx="1219200" cy="224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4</a:t>
            </a:r>
          </a:p>
        </xdr:txBody>
      </xdr:sp>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4222374" y="249702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5</a:t>
            </a:r>
          </a:p>
        </xdr:txBody>
      </xdr:sp>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5728444" y="248806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6</a:t>
            </a:r>
          </a:p>
        </xdr:txBody>
      </xdr:sp>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4616821" y="293629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7</a:t>
            </a:r>
          </a:p>
        </xdr:txBody>
      </xdr:sp>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6113927" y="2927333"/>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8</a:t>
            </a:r>
          </a:p>
        </xdr:txBody>
      </xdr:sp>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1532957" y="158262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2</a:t>
            </a:r>
          </a:p>
        </xdr:txBody>
      </xdr:sp>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349621" y="158262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1</a:t>
            </a:r>
          </a:p>
        </xdr:txBody>
      </xdr:sp>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618564" y="2066723"/>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3</a:t>
            </a:r>
          </a:p>
        </xdr:txBody>
      </xdr:sp>
      <xdr:sp macro="" textlink="">
        <xdr:nvSpPr>
          <xdr:cNvPr id="70" name="TextBox 69">
            <a:extLst>
              <a:ext uri="{FF2B5EF4-FFF2-40B4-BE49-F238E27FC236}">
                <a16:creationId xmlns:a16="http://schemas.microsoft.com/office/drawing/2014/main" id="{00000000-0008-0000-0000-000046000000}"/>
              </a:ext>
            </a:extLst>
          </xdr:cNvPr>
          <xdr:cNvSpPr txBox="1"/>
        </xdr:nvSpPr>
        <xdr:spPr>
          <a:xfrm>
            <a:off x="1963263" y="204879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4</a:t>
            </a:r>
          </a:p>
        </xdr:txBody>
      </xdr:sp>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977152" y="2532886"/>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5</a:t>
            </a:r>
          </a:p>
        </xdr:txBody>
      </xdr:sp>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2321852" y="2523921"/>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6</a:t>
            </a:r>
          </a:p>
        </xdr:txBody>
      </xdr:sp>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1371599" y="29721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7</a:t>
            </a:r>
          </a:p>
        </xdr:txBody>
      </xdr:sp>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2725265" y="296319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8</a:t>
            </a:r>
          </a:p>
        </xdr:txBody>
      </xdr:sp>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2841806"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2</a:t>
            </a:r>
          </a:p>
        </xdr:txBody>
      </xdr:sp>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1452280"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1</a:t>
            </a:r>
          </a:p>
        </xdr:txBody>
      </xdr:sp>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084727" y="444237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3</a:t>
            </a:r>
          </a:p>
        </xdr:txBody>
      </xdr:sp>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2384603" y="444236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4</a:t>
            </a:r>
          </a:p>
        </xdr:txBody>
      </xdr:sp>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627527" y="496232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5</a:t>
            </a:r>
          </a:p>
        </xdr:txBody>
      </xdr:sp>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1891542" y="49533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6</a:t>
            </a:r>
          </a:p>
        </xdr:txBody>
      </xdr:sp>
      <xdr:sp macro="" textlink="">
        <xdr:nvSpPr>
          <xdr:cNvPr id="83" name="TextBox 82">
            <a:extLst>
              <a:ext uri="{FF2B5EF4-FFF2-40B4-BE49-F238E27FC236}">
                <a16:creationId xmlns:a16="http://schemas.microsoft.com/office/drawing/2014/main" id="{00000000-0008-0000-0000-000053000000}"/>
              </a:ext>
            </a:extLst>
          </xdr:cNvPr>
          <xdr:cNvSpPr txBox="1"/>
        </xdr:nvSpPr>
        <xdr:spPr>
          <a:xfrm>
            <a:off x="179291" y="546434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7</a:t>
            </a:r>
          </a:p>
        </xdr:txBody>
      </xdr:sp>
      <xdr:sp macro="" textlink="">
        <xdr:nvSpPr>
          <xdr:cNvPr id="84" name="TextBox 83">
            <a:extLst>
              <a:ext uri="{FF2B5EF4-FFF2-40B4-BE49-F238E27FC236}">
                <a16:creationId xmlns:a16="http://schemas.microsoft.com/office/drawing/2014/main" id="{00000000-0008-0000-0000-000054000000}"/>
              </a:ext>
            </a:extLst>
          </xdr:cNvPr>
          <xdr:cNvSpPr txBox="1"/>
        </xdr:nvSpPr>
        <xdr:spPr>
          <a:xfrm>
            <a:off x="1452272" y="545538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8</a:t>
            </a:r>
          </a:p>
        </xdr:txBody>
      </xdr:sp>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6194606"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2</a:t>
            </a:r>
          </a:p>
        </xdr:txBody>
      </xdr:sp>
      <xdr:sp macro="" textlink="">
        <xdr:nvSpPr>
          <xdr:cNvPr id="86" name="TextBox 85">
            <a:extLst>
              <a:ext uri="{FF2B5EF4-FFF2-40B4-BE49-F238E27FC236}">
                <a16:creationId xmlns:a16="http://schemas.microsoft.com/office/drawing/2014/main" id="{00000000-0008-0000-0000-000056000000}"/>
              </a:ext>
            </a:extLst>
          </xdr:cNvPr>
          <xdr:cNvSpPr txBox="1"/>
        </xdr:nvSpPr>
        <xdr:spPr>
          <a:xfrm>
            <a:off x="4805080"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1</a:t>
            </a:r>
          </a:p>
        </xdr:txBody>
      </xdr:sp>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4437527" y="444237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3</a:t>
            </a:r>
          </a:p>
        </xdr:txBody>
      </xdr:sp>
      <xdr:sp macro="" textlink="">
        <xdr:nvSpPr>
          <xdr:cNvPr id="88" name="TextBox 87">
            <a:extLst>
              <a:ext uri="{FF2B5EF4-FFF2-40B4-BE49-F238E27FC236}">
                <a16:creationId xmlns:a16="http://schemas.microsoft.com/office/drawing/2014/main" id="{00000000-0008-0000-0000-000058000000}"/>
              </a:ext>
            </a:extLst>
          </xdr:cNvPr>
          <xdr:cNvSpPr txBox="1"/>
        </xdr:nvSpPr>
        <xdr:spPr>
          <a:xfrm>
            <a:off x="5737403" y="444236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4</a:t>
            </a:r>
          </a:p>
        </xdr:txBody>
      </xdr:sp>
      <xdr:sp macro="" textlink="">
        <xdr:nvSpPr>
          <xdr:cNvPr id="89" name="TextBox 88">
            <a:extLst>
              <a:ext uri="{FF2B5EF4-FFF2-40B4-BE49-F238E27FC236}">
                <a16:creationId xmlns:a16="http://schemas.microsoft.com/office/drawing/2014/main" id="{00000000-0008-0000-0000-000059000000}"/>
              </a:ext>
            </a:extLst>
          </xdr:cNvPr>
          <xdr:cNvSpPr txBox="1"/>
        </xdr:nvSpPr>
        <xdr:spPr>
          <a:xfrm>
            <a:off x="3980327" y="496232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5</a:t>
            </a:r>
          </a:p>
        </xdr:txBody>
      </xdr:sp>
      <xdr:sp macro="" textlink="">
        <xdr:nvSpPr>
          <xdr:cNvPr id="90" name="TextBox 89">
            <a:extLst>
              <a:ext uri="{FF2B5EF4-FFF2-40B4-BE49-F238E27FC236}">
                <a16:creationId xmlns:a16="http://schemas.microsoft.com/office/drawing/2014/main" id="{00000000-0008-0000-0000-00005A000000}"/>
              </a:ext>
            </a:extLst>
          </xdr:cNvPr>
          <xdr:cNvSpPr txBox="1"/>
        </xdr:nvSpPr>
        <xdr:spPr>
          <a:xfrm>
            <a:off x="5244342" y="49533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6</a:t>
            </a:r>
          </a:p>
        </xdr:txBody>
      </xdr:sp>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3532091" y="546434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7</a:t>
            </a:r>
          </a:p>
        </xdr:txBody>
      </xdr:sp>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4805072" y="545538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00"/>
              <a:t>Idea 8</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179291</xdr:colOff>
      <xdr:row>5</xdr:row>
      <xdr:rowOff>137160</xdr:rowOff>
    </xdr:from>
    <xdr:to>
      <xdr:col>13</xdr:col>
      <xdr:colOff>537880</xdr:colOff>
      <xdr:row>34</xdr:row>
      <xdr:rowOff>38100</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179291" y="1043940"/>
          <a:ext cx="8283389" cy="5204460"/>
          <a:chOff x="179291" y="1042595"/>
          <a:chExt cx="8283389" cy="5100470"/>
        </a:xfrm>
      </xdr:grpSpPr>
      <xdr:sp macro="" textlink="">
        <xdr:nvSpPr>
          <xdr:cNvPr id="3" name="Flowchart: Delay 2">
            <a:extLst>
              <a:ext uri="{FF2B5EF4-FFF2-40B4-BE49-F238E27FC236}">
                <a16:creationId xmlns:a16="http://schemas.microsoft.com/office/drawing/2014/main" id="{00000000-0008-0000-0100-000003000000}"/>
              </a:ext>
            </a:extLst>
          </xdr:cNvPr>
          <xdr:cNvSpPr/>
        </xdr:nvSpPr>
        <xdr:spPr>
          <a:xfrm>
            <a:off x="7235860" y="3171265"/>
            <a:ext cx="1226820" cy="881230"/>
          </a:xfrm>
          <a:prstGeom prst="flowChartDelay">
            <a:avLst/>
          </a:prstGeom>
          <a:solidFill>
            <a:schemeClr val="accent3">
              <a:lumMod val="20000"/>
              <a:lumOff val="80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n-AU" sz="1200">
                <a:solidFill>
                  <a:schemeClr val="tx1">
                    <a:lumMod val="65000"/>
                    <a:lumOff val="35000"/>
                  </a:schemeClr>
                </a:solidFill>
              </a:rPr>
              <a:t>Problem or Opportunity</a:t>
            </a:r>
          </a:p>
        </xdr:txBody>
      </xdr:sp>
      <xdr:cxnSp macro="">
        <xdr:nvCxnSpPr>
          <xdr:cNvPr id="4" name="Straight Connector 3">
            <a:extLst>
              <a:ext uri="{FF2B5EF4-FFF2-40B4-BE49-F238E27FC236}">
                <a16:creationId xmlns:a16="http://schemas.microsoft.com/office/drawing/2014/main" id="{00000000-0008-0000-0100-000004000000}"/>
              </a:ext>
            </a:extLst>
          </xdr:cNvPr>
          <xdr:cNvCxnSpPr>
            <a:stCxn id="3" idx="1"/>
          </xdr:cNvCxnSpPr>
        </xdr:nvCxnSpPr>
        <xdr:spPr>
          <a:xfrm flipH="1">
            <a:off x="1757080" y="3610087"/>
            <a:ext cx="5478780"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flipH="1" flipV="1">
            <a:off x="4523140" y="1439284"/>
            <a:ext cx="1981200" cy="2170803"/>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flipH="1" flipV="1">
            <a:off x="1162720" y="1439284"/>
            <a:ext cx="1981200" cy="2170803"/>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flipH="1">
            <a:off x="1170340" y="3602467"/>
            <a:ext cx="1973580" cy="2139875"/>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00000000-0008-0000-0100-000008000000}"/>
              </a:ext>
            </a:extLst>
          </xdr:cNvPr>
          <xdr:cNvCxnSpPr/>
        </xdr:nvCxnSpPr>
        <xdr:spPr>
          <a:xfrm flipH="1">
            <a:off x="4523140" y="3617707"/>
            <a:ext cx="1973580" cy="2136289"/>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621700" y="1042595"/>
            <a:ext cx="1120140" cy="389069"/>
          </a:xfrm>
          <a:prstGeom prst="roundRect">
            <a:avLst/>
          </a:prstGeom>
          <a:solidFill>
            <a:schemeClr val="accent2">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000" i="1">
                <a:solidFill>
                  <a:schemeClr val="tx1">
                    <a:lumMod val="65000"/>
                    <a:lumOff val="35000"/>
                  </a:schemeClr>
                </a:solidFill>
              </a:rPr>
              <a:t>Man or Woman Power</a:t>
            </a:r>
          </a:p>
        </xdr:txBody>
      </xdr:sp>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3982120" y="1050215"/>
            <a:ext cx="1120140" cy="389069"/>
          </a:xfrm>
          <a:prstGeom prst="roundRect">
            <a:avLst/>
          </a:prstGeom>
          <a:solidFill>
            <a:schemeClr val="accent4">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Method</a:t>
            </a:r>
          </a:p>
        </xdr:txBody>
      </xdr:sp>
      <xdr:sp macro="" textlink="">
        <xdr:nvSpPr>
          <xdr:cNvPr id="11" name="Rounded Rectangle 10">
            <a:extLst>
              <a:ext uri="{FF2B5EF4-FFF2-40B4-BE49-F238E27FC236}">
                <a16:creationId xmlns:a16="http://schemas.microsoft.com/office/drawing/2014/main" id="{00000000-0008-0000-0100-00000B000000}"/>
              </a:ext>
            </a:extLst>
          </xdr:cNvPr>
          <xdr:cNvSpPr/>
        </xdr:nvSpPr>
        <xdr:spPr>
          <a:xfrm>
            <a:off x="606460" y="5734722"/>
            <a:ext cx="1120140" cy="385483"/>
          </a:xfrm>
          <a:prstGeom prst="roundRect">
            <a:avLst/>
          </a:prstGeom>
          <a:solidFill>
            <a:schemeClr val="accent5">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Machine</a:t>
            </a:r>
          </a:p>
        </xdr:txBody>
      </xdr:sp>
      <xdr:sp macro="" textlink="">
        <xdr:nvSpPr>
          <xdr:cNvPr id="12" name="Rounded Rectangle 11">
            <a:extLst>
              <a:ext uri="{FF2B5EF4-FFF2-40B4-BE49-F238E27FC236}">
                <a16:creationId xmlns:a16="http://schemas.microsoft.com/office/drawing/2014/main" id="{00000000-0008-0000-0100-00000C000000}"/>
              </a:ext>
            </a:extLst>
          </xdr:cNvPr>
          <xdr:cNvSpPr/>
        </xdr:nvSpPr>
        <xdr:spPr>
          <a:xfrm>
            <a:off x="3989740" y="5753996"/>
            <a:ext cx="1120140" cy="389069"/>
          </a:xfrm>
          <a:prstGeom prst="roundRect">
            <a:avLst/>
          </a:prstGeom>
          <a:solidFill>
            <a:schemeClr val="accent6">
              <a:lumMod val="20000"/>
              <a:lumOff val="80000"/>
            </a:schemeClr>
          </a:solidFill>
          <a:ln w="190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AU" sz="1600" i="1">
                <a:solidFill>
                  <a:schemeClr val="tx1">
                    <a:lumMod val="65000"/>
                    <a:lumOff val="35000"/>
                  </a:schemeClr>
                </a:solidFill>
              </a:rPr>
              <a:t>Material</a:t>
            </a:r>
          </a:p>
        </xdr:txBody>
      </xdr:sp>
      <xdr:sp macro="" textlink="">
        <xdr:nvSpPr>
          <xdr:cNvPr id="13" name="Isosceles Triangle 12">
            <a:extLst>
              <a:ext uri="{FF2B5EF4-FFF2-40B4-BE49-F238E27FC236}">
                <a16:creationId xmlns:a16="http://schemas.microsoft.com/office/drawing/2014/main" id="{00000000-0008-0000-0100-00000D000000}"/>
              </a:ext>
            </a:extLst>
          </xdr:cNvPr>
          <xdr:cNvSpPr/>
        </xdr:nvSpPr>
        <xdr:spPr>
          <a:xfrm rot="5400000">
            <a:off x="1376736" y="3413128"/>
            <a:ext cx="419136" cy="383795"/>
          </a:xfrm>
          <a:prstGeom prst="triangle">
            <a:avLst/>
          </a:prstGeom>
          <a:solidFill>
            <a:schemeClr val="bg1">
              <a:lumMod val="95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flipH="1">
            <a:off x="1452280" y="415469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00000000-0008-0000-0100-00000F000000}"/>
              </a:ext>
            </a:extLst>
          </xdr:cNvPr>
          <xdr:cNvCxnSpPr/>
        </xdr:nvCxnSpPr>
        <xdr:spPr>
          <a:xfrm flipH="1">
            <a:off x="1075762" y="4692575"/>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00000000-0008-0000-0100-000010000000}"/>
              </a:ext>
            </a:extLst>
          </xdr:cNvPr>
          <xdr:cNvCxnSpPr/>
        </xdr:nvCxnSpPr>
        <xdr:spPr>
          <a:xfrm flipH="1">
            <a:off x="672350" y="521252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00000000-0008-0000-0100-000011000000}"/>
              </a:ext>
            </a:extLst>
          </xdr:cNvPr>
          <xdr:cNvCxnSpPr/>
        </xdr:nvCxnSpPr>
        <xdr:spPr>
          <a:xfrm flipH="1">
            <a:off x="259974" y="570558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100-000012000000}"/>
              </a:ext>
            </a:extLst>
          </xdr:cNvPr>
          <xdr:cNvCxnSpPr/>
        </xdr:nvCxnSpPr>
        <xdr:spPr>
          <a:xfrm flipH="1">
            <a:off x="4706468" y="415065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00000000-0008-0000-0100-000013000000}"/>
              </a:ext>
            </a:extLst>
          </xdr:cNvPr>
          <xdr:cNvCxnSpPr/>
        </xdr:nvCxnSpPr>
        <xdr:spPr>
          <a:xfrm flipH="1">
            <a:off x="4294091" y="467957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00000000-0008-0000-0100-000014000000}"/>
              </a:ext>
            </a:extLst>
          </xdr:cNvPr>
          <xdr:cNvCxnSpPr/>
        </xdr:nvCxnSpPr>
        <xdr:spPr>
          <a:xfrm flipH="1">
            <a:off x="3881715" y="5226424"/>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flipH="1">
            <a:off x="3442444" y="5710516"/>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00000000-0008-0000-0100-000016000000}"/>
              </a:ext>
            </a:extLst>
          </xdr:cNvPr>
          <xdr:cNvCxnSpPr/>
        </xdr:nvCxnSpPr>
        <xdr:spPr>
          <a:xfrm flipH="1">
            <a:off x="448233" y="1823869"/>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00000000-0008-0000-0100-000017000000}"/>
              </a:ext>
            </a:extLst>
          </xdr:cNvPr>
          <xdr:cNvCxnSpPr/>
        </xdr:nvCxnSpPr>
        <xdr:spPr>
          <a:xfrm flipH="1">
            <a:off x="806821" y="2272104"/>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00000000-0008-0000-0100-000018000000}"/>
              </a:ext>
            </a:extLst>
          </xdr:cNvPr>
          <xdr:cNvCxnSpPr/>
        </xdr:nvCxnSpPr>
        <xdr:spPr>
          <a:xfrm flipH="1">
            <a:off x="1165409" y="274723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flipH="1">
            <a:off x="1523997" y="31954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00000000-0008-0000-0100-00001A000000}"/>
              </a:ext>
            </a:extLst>
          </xdr:cNvPr>
          <xdr:cNvCxnSpPr/>
        </xdr:nvCxnSpPr>
        <xdr:spPr>
          <a:xfrm flipH="1">
            <a:off x="3729315" y="18238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00000000-0008-0000-0100-00001B000000}"/>
              </a:ext>
            </a:extLst>
          </xdr:cNvPr>
          <xdr:cNvCxnSpPr/>
        </xdr:nvCxnSpPr>
        <xdr:spPr>
          <a:xfrm flipH="1">
            <a:off x="4025150" y="2281068"/>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00000000-0008-0000-0100-00001C000000}"/>
              </a:ext>
            </a:extLst>
          </xdr:cNvPr>
          <xdr:cNvCxnSpPr/>
        </xdr:nvCxnSpPr>
        <xdr:spPr>
          <a:xfrm flipH="1">
            <a:off x="4401668" y="2747231"/>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00000000-0008-0000-0100-00001D000000}"/>
              </a:ext>
            </a:extLst>
          </xdr:cNvPr>
          <xdr:cNvCxnSpPr/>
        </xdr:nvCxnSpPr>
        <xdr:spPr>
          <a:xfrm flipH="1">
            <a:off x="4778185" y="3204432"/>
            <a:ext cx="2330824" cy="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4984374" y="1546769"/>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2</a:t>
            </a:r>
          </a:p>
        </xdr:txBody>
      </xdr:sp>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3594843" y="1546769"/>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1</a:t>
            </a:r>
          </a:p>
        </xdr:txBody>
      </xdr:sp>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3863786" y="2030864"/>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3</a:t>
            </a:r>
          </a:p>
        </xdr:txBody>
      </xdr:sp>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5414680" y="2012933"/>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4</a:t>
            </a:r>
          </a:p>
        </xdr:txBody>
      </xdr:sp>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4222374" y="249702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5</a:t>
            </a:r>
          </a:p>
        </xdr:txBody>
      </xdr:sp>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5728444" y="248806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6</a:t>
            </a:r>
          </a:p>
        </xdr:txBody>
      </xdr:sp>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4616821" y="293629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7</a:t>
            </a:r>
          </a:p>
        </xdr:txBody>
      </xdr:sp>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6113927" y="2927333"/>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8</a:t>
            </a:r>
          </a:p>
        </xdr:txBody>
      </xdr:sp>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532957" y="158262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2</a:t>
            </a:r>
          </a:p>
        </xdr:txBody>
      </xdr:sp>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349621" y="158262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1</a:t>
            </a:r>
          </a:p>
        </xdr:txBody>
      </xdr:sp>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618564" y="2066723"/>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3</a:t>
            </a:r>
          </a:p>
        </xdr:txBody>
      </xdr:sp>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963263" y="204879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4</a:t>
            </a:r>
          </a:p>
        </xdr:txBody>
      </xdr:sp>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977152" y="2532886"/>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5</a:t>
            </a:r>
          </a:p>
        </xdr:txBody>
      </xdr:sp>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2321852" y="2523921"/>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6</a:t>
            </a:r>
          </a:p>
        </xdr:txBody>
      </xdr:sp>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371599" y="29721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7</a:t>
            </a:r>
          </a:p>
        </xdr:txBody>
      </xdr:sp>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2725265" y="296319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8</a:t>
            </a:r>
          </a:p>
        </xdr:txBody>
      </xdr:sp>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2841806"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2</a:t>
            </a:r>
          </a:p>
        </xdr:txBody>
      </xdr:sp>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52280"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1</a:t>
            </a:r>
          </a:p>
        </xdr:txBody>
      </xdr:sp>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084727" y="444237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3</a:t>
            </a:r>
          </a:p>
        </xdr:txBody>
      </xdr:sp>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2384603" y="444236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4</a:t>
            </a:r>
          </a:p>
        </xdr:txBody>
      </xdr:sp>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627527" y="496232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5</a:t>
            </a:r>
          </a:p>
        </xdr:txBody>
      </xdr:sp>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891542" y="49533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6</a:t>
            </a:r>
          </a:p>
        </xdr:txBody>
      </xdr:sp>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79291" y="546434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7</a:t>
            </a:r>
          </a:p>
        </xdr:txBody>
      </xdr:sp>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52272" y="545538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8</a:t>
            </a:r>
          </a:p>
        </xdr:txBody>
      </xdr:sp>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194606"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2</a:t>
            </a:r>
          </a:p>
        </xdr:txBody>
      </xdr:sp>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4805080" y="392241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1</a:t>
            </a:r>
          </a:p>
        </xdr:txBody>
      </xdr:sp>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4437527" y="444237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3</a:t>
            </a:r>
          </a:p>
        </xdr:txBody>
      </xdr:sp>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5737403" y="4442368"/>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4</a:t>
            </a:r>
          </a:p>
        </xdr:txBody>
      </xdr:sp>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3980327" y="4962322"/>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5</a:t>
            </a:r>
          </a:p>
        </xdr:txBody>
      </xdr:sp>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5244342" y="4953357"/>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6</a:t>
            </a:r>
          </a:p>
        </xdr:txBody>
      </xdr:sp>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3532091" y="5464345"/>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7</a:t>
            </a:r>
          </a:p>
        </xdr:txBody>
      </xdr:sp>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4805072" y="5455380"/>
            <a:ext cx="1219200" cy="232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spAutoFit/>
          </a:bodyPr>
          <a:lstStyle/>
          <a:p>
            <a:pPr algn="l"/>
            <a:r>
              <a:rPr lang="en-AU" sz="1050"/>
              <a:t>Idea 8</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425450</xdr:colOff>
      <xdr:row>46</xdr:row>
      <xdr:rowOff>167005</xdr:rowOff>
    </xdr:from>
    <xdr:to>
      <xdr:col>6</xdr:col>
      <xdr:colOff>1318260</xdr:colOff>
      <xdr:row>50</xdr:row>
      <xdr:rowOff>80010</xdr:rowOff>
    </xdr:to>
    <xdr:sp macro="" textlink="">
      <xdr:nvSpPr>
        <xdr:cNvPr id="2" name="Rectangle 1">
          <a:extLst>
            <a:ext uri="{FF2B5EF4-FFF2-40B4-BE49-F238E27FC236}">
              <a16:creationId xmlns:a16="http://schemas.microsoft.com/office/drawing/2014/main" id="{435790DD-3E10-4506-BFD6-856411B0F223}"/>
            </a:ext>
          </a:extLst>
        </xdr:cNvPr>
        <xdr:cNvSpPr/>
      </xdr:nvSpPr>
      <xdr:spPr>
        <a:xfrm>
          <a:off x="5546090" y="13166725"/>
          <a:ext cx="892810" cy="644525"/>
        </a:xfrm>
        <a:prstGeom prst="rect">
          <a:avLst/>
        </a:prstGeom>
        <a:solidFill>
          <a:srgbClr val="E7D6B6"/>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6</xdr:col>
      <xdr:colOff>1433195</xdr:colOff>
      <xdr:row>46</xdr:row>
      <xdr:rowOff>153035</xdr:rowOff>
    </xdr:from>
    <xdr:to>
      <xdr:col>8</xdr:col>
      <xdr:colOff>222885</xdr:colOff>
      <xdr:row>50</xdr:row>
      <xdr:rowOff>66040</xdr:rowOff>
    </xdr:to>
    <xdr:sp macro="" textlink="">
      <xdr:nvSpPr>
        <xdr:cNvPr id="3" name="Rectangle 2">
          <a:extLst>
            <a:ext uri="{FF2B5EF4-FFF2-40B4-BE49-F238E27FC236}">
              <a16:creationId xmlns:a16="http://schemas.microsoft.com/office/drawing/2014/main" id="{DF22CC5B-3793-46D2-8EEE-E8BFFD0827F9}"/>
            </a:ext>
          </a:extLst>
        </xdr:cNvPr>
        <xdr:cNvSpPr/>
      </xdr:nvSpPr>
      <xdr:spPr>
        <a:xfrm>
          <a:off x="6553835" y="13152755"/>
          <a:ext cx="892810" cy="644525"/>
        </a:xfrm>
        <a:prstGeom prst="rect">
          <a:avLst/>
        </a:prstGeom>
        <a:solidFill>
          <a:srgbClr val="F0CEB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6</xdr:col>
      <xdr:colOff>1433195</xdr:colOff>
      <xdr:row>43</xdr:row>
      <xdr:rowOff>76200</xdr:rowOff>
    </xdr:from>
    <xdr:to>
      <xdr:col>8</xdr:col>
      <xdr:colOff>222885</xdr:colOff>
      <xdr:row>46</xdr:row>
      <xdr:rowOff>42545</xdr:rowOff>
    </xdr:to>
    <xdr:sp macro="" textlink="">
      <xdr:nvSpPr>
        <xdr:cNvPr id="4" name="Rectangle 3">
          <a:extLst>
            <a:ext uri="{FF2B5EF4-FFF2-40B4-BE49-F238E27FC236}">
              <a16:creationId xmlns:a16="http://schemas.microsoft.com/office/drawing/2014/main" id="{CB886E2E-0973-4822-AC67-D6F9FAF40654}"/>
            </a:ext>
          </a:extLst>
        </xdr:cNvPr>
        <xdr:cNvSpPr/>
      </xdr:nvSpPr>
      <xdr:spPr>
        <a:xfrm>
          <a:off x="6553835" y="12397740"/>
          <a:ext cx="892810" cy="644525"/>
        </a:xfrm>
        <a:prstGeom prst="rect">
          <a:avLst/>
        </a:prstGeom>
        <a:solidFill>
          <a:srgbClr val="F4E1C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327660</xdr:colOff>
      <xdr:row>43</xdr:row>
      <xdr:rowOff>80010</xdr:rowOff>
    </xdr:from>
    <xdr:to>
      <xdr:col>8</xdr:col>
      <xdr:colOff>1220470</xdr:colOff>
      <xdr:row>46</xdr:row>
      <xdr:rowOff>46355</xdr:rowOff>
    </xdr:to>
    <xdr:sp macro="" textlink="">
      <xdr:nvSpPr>
        <xdr:cNvPr id="5" name="Rectangle 4">
          <a:extLst>
            <a:ext uri="{FF2B5EF4-FFF2-40B4-BE49-F238E27FC236}">
              <a16:creationId xmlns:a16="http://schemas.microsoft.com/office/drawing/2014/main" id="{F95E2653-73E2-4FD5-91E6-27D93E51BAE7}"/>
            </a:ext>
          </a:extLst>
        </xdr:cNvPr>
        <xdr:cNvSpPr/>
      </xdr:nvSpPr>
      <xdr:spPr>
        <a:xfrm>
          <a:off x="7551420" y="12401550"/>
          <a:ext cx="892810" cy="644525"/>
        </a:xfrm>
        <a:prstGeom prst="rect">
          <a:avLst/>
        </a:prstGeom>
        <a:solidFill>
          <a:srgbClr val="CDE4CD"/>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327660</xdr:colOff>
      <xdr:row>46</xdr:row>
      <xdr:rowOff>160020</xdr:rowOff>
    </xdr:from>
    <xdr:to>
      <xdr:col>8</xdr:col>
      <xdr:colOff>1220470</xdr:colOff>
      <xdr:row>50</xdr:row>
      <xdr:rowOff>73025</xdr:rowOff>
    </xdr:to>
    <xdr:sp macro="" textlink="">
      <xdr:nvSpPr>
        <xdr:cNvPr id="6" name="Rectangle 5">
          <a:extLst>
            <a:ext uri="{FF2B5EF4-FFF2-40B4-BE49-F238E27FC236}">
              <a16:creationId xmlns:a16="http://schemas.microsoft.com/office/drawing/2014/main" id="{65BB2D9D-A479-43EF-A06B-67F32773738E}"/>
            </a:ext>
          </a:extLst>
        </xdr:cNvPr>
        <xdr:cNvSpPr/>
      </xdr:nvSpPr>
      <xdr:spPr>
        <a:xfrm>
          <a:off x="7551420" y="13159740"/>
          <a:ext cx="892810" cy="644525"/>
        </a:xfrm>
        <a:prstGeom prst="rect">
          <a:avLst/>
        </a:prstGeom>
        <a:solidFill>
          <a:srgbClr val="B3C9B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5</xdr:col>
      <xdr:colOff>28575</xdr:colOff>
      <xdr:row>46</xdr:row>
      <xdr:rowOff>153035</xdr:rowOff>
    </xdr:from>
    <xdr:to>
      <xdr:col>6</xdr:col>
      <xdr:colOff>311785</xdr:colOff>
      <xdr:row>50</xdr:row>
      <xdr:rowOff>66040</xdr:rowOff>
    </xdr:to>
    <xdr:sp macro="" textlink="">
      <xdr:nvSpPr>
        <xdr:cNvPr id="7" name="Rectangle 6">
          <a:extLst>
            <a:ext uri="{FF2B5EF4-FFF2-40B4-BE49-F238E27FC236}">
              <a16:creationId xmlns:a16="http://schemas.microsoft.com/office/drawing/2014/main" id="{5FD17236-A11A-4512-8128-402BAB9E27C9}"/>
            </a:ext>
          </a:extLst>
        </xdr:cNvPr>
        <xdr:cNvSpPr/>
      </xdr:nvSpPr>
      <xdr:spPr>
        <a:xfrm>
          <a:off x="4539615" y="13152755"/>
          <a:ext cx="892810" cy="644525"/>
        </a:xfrm>
        <a:prstGeom prst="rect">
          <a:avLst/>
        </a:prstGeom>
        <a:solidFill>
          <a:srgbClr val="F5ECBB"/>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5</xdr:col>
      <xdr:colOff>22860</xdr:colOff>
      <xdr:row>50</xdr:row>
      <xdr:rowOff>167640</xdr:rowOff>
    </xdr:from>
    <xdr:to>
      <xdr:col>6</xdr:col>
      <xdr:colOff>306070</xdr:colOff>
      <xdr:row>54</xdr:row>
      <xdr:rowOff>80645</xdr:rowOff>
    </xdr:to>
    <xdr:sp macro="" textlink="">
      <xdr:nvSpPr>
        <xdr:cNvPr id="8" name="Rectangle 7">
          <a:extLst>
            <a:ext uri="{FF2B5EF4-FFF2-40B4-BE49-F238E27FC236}">
              <a16:creationId xmlns:a16="http://schemas.microsoft.com/office/drawing/2014/main" id="{243EBA72-C015-43CB-8F55-5AACC9B79CF7}"/>
            </a:ext>
          </a:extLst>
        </xdr:cNvPr>
        <xdr:cNvSpPr/>
      </xdr:nvSpPr>
      <xdr:spPr>
        <a:xfrm>
          <a:off x="4533900" y="13898880"/>
          <a:ext cx="892810" cy="644525"/>
        </a:xfrm>
        <a:prstGeom prst="rect">
          <a:avLst/>
        </a:prstGeom>
        <a:solidFill>
          <a:srgbClr val="EDD075"/>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617220</xdr:colOff>
      <xdr:row>43</xdr:row>
      <xdr:rowOff>97155</xdr:rowOff>
    </xdr:from>
    <xdr:to>
      <xdr:col>10</xdr:col>
      <xdr:colOff>1510030</xdr:colOff>
      <xdr:row>46</xdr:row>
      <xdr:rowOff>63500</xdr:rowOff>
    </xdr:to>
    <xdr:sp macro="" textlink="">
      <xdr:nvSpPr>
        <xdr:cNvPr id="9" name="Rectangle 8">
          <a:extLst>
            <a:ext uri="{FF2B5EF4-FFF2-40B4-BE49-F238E27FC236}">
              <a16:creationId xmlns:a16="http://schemas.microsoft.com/office/drawing/2014/main" id="{AA74912C-757B-45A2-A35C-0EAEF428A74B}"/>
            </a:ext>
          </a:extLst>
        </xdr:cNvPr>
        <xdr:cNvSpPr/>
      </xdr:nvSpPr>
      <xdr:spPr>
        <a:xfrm>
          <a:off x="9532620" y="12418695"/>
          <a:ext cx="892810" cy="644525"/>
        </a:xfrm>
        <a:prstGeom prst="rect">
          <a:avLst/>
        </a:prstGeom>
        <a:solidFill>
          <a:srgbClr val="F5DBE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1614805</xdr:colOff>
      <xdr:row>51</xdr:row>
      <xdr:rowOff>7620</xdr:rowOff>
    </xdr:from>
    <xdr:to>
      <xdr:col>12</xdr:col>
      <xdr:colOff>213995</xdr:colOff>
      <xdr:row>54</xdr:row>
      <xdr:rowOff>103505</xdr:rowOff>
    </xdr:to>
    <xdr:sp macro="" textlink="">
      <xdr:nvSpPr>
        <xdr:cNvPr id="10" name="Rectangle 9">
          <a:extLst>
            <a:ext uri="{FF2B5EF4-FFF2-40B4-BE49-F238E27FC236}">
              <a16:creationId xmlns:a16="http://schemas.microsoft.com/office/drawing/2014/main" id="{CEFB3B0F-E3A3-47BD-A2A5-E7111F2A9DD9}"/>
            </a:ext>
          </a:extLst>
        </xdr:cNvPr>
        <xdr:cNvSpPr/>
      </xdr:nvSpPr>
      <xdr:spPr>
        <a:xfrm>
          <a:off x="10530205" y="13921740"/>
          <a:ext cx="892810" cy="644525"/>
        </a:xfrm>
        <a:prstGeom prst="rect">
          <a:avLst/>
        </a:prstGeom>
        <a:solidFill>
          <a:srgbClr val="6660A2"/>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1607820</xdr:colOff>
      <xdr:row>43</xdr:row>
      <xdr:rowOff>97155</xdr:rowOff>
    </xdr:from>
    <xdr:to>
      <xdr:col>12</xdr:col>
      <xdr:colOff>207010</xdr:colOff>
      <xdr:row>46</xdr:row>
      <xdr:rowOff>63500</xdr:rowOff>
    </xdr:to>
    <xdr:sp macro="" textlink="">
      <xdr:nvSpPr>
        <xdr:cNvPr id="11" name="Rectangle 10">
          <a:extLst>
            <a:ext uri="{FF2B5EF4-FFF2-40B4-BE49-F238E27FC236}">
              <a16:creationId xmlns:a16="http://schemas.microsoft.com/office/drawing/2014/main" id="{591F8666-AA5C-4AC3-86DB-04C8DC47309F}"/>
            </a:ext>
          </a:extLst>
        </xdr:cNvPr>
        <xdr:cNvSpPr/>
      </xdr:nvSpPr>
      <xdr:spPr>
        <a:xfrm>
          <a:off x="10523220" y="12418695"/>
          <a:ext cx="892810" cy="644525"/>
        </a:xfrm>
        <a:prstGeom prst="rect">
          <a:avLst/>
        </a:prstGeom>
        <a:solidFill>
          <a:srgbClr val="E5E6F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1611630</xdr:colOff>
      <xdr:row>46</xdr:row>
      <xdr:rowOff>180975</xdr:rowOff>
    </xdr:from>
    <xdr:to>
      <xdr:col>12</xdr:col>
      <xdr:colOff>210820</xdr:colOff>
      <xdr:row>50</xdr:row>
      <xdr:rowOff>93980</xdr:rowOff>
    </xdr:to>
    <xdr:sp macro="" textlink="">
      <xdr:nvSpPr>
        <xdr:cNvPr id="12" name="Rectangle 11">
          <a:extLst>
            <a:ext uri="{FF2B5EF4-FFF2-40B4-BE49-F238E27FC236}">
              <a16:creationId xmlns:a16="http://schemas.microsoft.com/office/drawing/2014/main" id="{2860F63D-9CE2-4992-9B35-48B123E681E6}"/>
            </a:ext>
          </a:extLst>
        </xdr:cNvPr>
        <xdr:cNvSpPr/>
      </xdr:nvSpPr>
      <xdr:spPr>
        <a:xfrm>
          <a:off x="10527030" y="13180695"/>
          <a:ext cx="892810" cy="644525"/>
        </a:xfrm>
        <a:prstGeom prst="rect">
          <a:avLst/>
        </a:prstGeom>
        <a:solidFill>
          <a:srgbClr val="A0A4C7"/>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628015</xdr:colOff>
      <xdr:row>51</xdr:row>
      <xdr:rowOff>7620</xdr:rowOff>
    </xdr:from>
    <xdr:to>
      <xdr:col>10</xdr:col>
      <xdr:colOff>1520825</xdr:colOff>
      <xdr:row>54</xdr:row>
      <xdr:rowOff>103505</xdr:rowOff>
    </xdr:to>
    <xdr:sp macro="" textlink="">
      <xdr:nvSpPr>
        <xdr:cNvPr id="13" name="Rectangle 12">
          <a:extLst>
            <a:ext uri="{FF2B5EF4-FFF2-40B4-BE49-F238E27FC236}">
              <a16:creationId xmlns:a16="http://schemas.microsoft.com/office/drawing/2014/main" id="{78DC2131-7D24-4D3C-A8C1-8F2D4391CF0B}"/>
            </a:ext>
          </a:extLst>
        </xdr:cNvPr>
        <xdr:cNvSpPr/>
      </xdr:nvSpPr>
      <xdr:spPr>
        <a:xfrm>
          <a:off x="9543415" y="13921740"/>
          <a:ext cx="892810" cy="644525"/>
        </a:xfrm>
        <a:prstGeom prst="rect">
          <a:avLst/>
        </a:prstGeom>
        <a:solidFill>
          <a:srgbClr val="8D4D9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1322070</xdr:colOff>
      <xdr:row>51</xdr:row>
      <xdr:rowOff>11430</xdr:rowOff>
    </xdr:from>
    <xdr:to>
      <xdr:col>10</xdr:col>
      <xdr:colOff>523240</xdr:colOff>
      <xdr:row>54</xdr:row>
      <xdr:rowOff>107315</xdr:rowOff>
    </xdr:to>
    <xdr:sp macro="" textlink="">
      <xdr:nvSpPr>
        <xdr:cNvPr id="14" name="Rectangle 13">
          <a:extLst>
            <a:ext uri="{FF2B5EF4-FFF2-40B4-BE49-F238E27FC236}">
              <a16:creationId xmlns:a16="http://schemas.microsoft.com/office/drawing/2014/main" id="{A9167356-6502-4B0C-AB3D-0A137A7F73E7}"/>
            </a:ext>
          </a:extLst>
        </xdr:cNvPr>
        <xdr:cNvSpPr/>
      </xdr:nvSpPr>
      <xdr:spPr>
        <a:xfrm>
          <a:off x="8545830" y="13925550"/>
          <a:ext cx="892810" cy="644525"/>
        </a:xfrm>
        <a:prstGeom prst="rect">
          <a:avLst/>
        </a:prstGeom>
        <a:solidFill>
          <a:srgbClr val="5369AA"/>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327660</xdr:colOff>
      <xdr:row>50</xdr:row>
      <xdr:rowOff>176530</xdr:rowOff>
    </xdr:from>
    <xdr:to>
      <xdr:col>8</xdr:col>
      <xdr:colOff>1220470</xdr:colOff>
      <xdr:row>54</xdr:row>
      <xdr:rowOff>89535</xdr:rowOff>
    </xdr:to>
    <xdr:sp macro="" textlink="">
      <xdr:nvSpPr>
        <xdr:cNvPr id="15" name="Rectangle 14">
          <a:extLst>
            <a:ext uri="{FF2B5EF4-FFF2-40B4-BE49-F238E27FC236}">
              <a16:creationId xmlns:a16="http://schemas.microsoft.com/office/drawing/2014/main" id="{494596F7-DA40-4D40-97E5-0BF4D8EFFFCD}"/>
            </a:ext>
          </a:extLst>
        </xdr:cNvPr>
        <xdr:cNvSpPr/>
      </xdr:nvSpPr>
      <xdr:spPr>
        <a:xfrm>
          <a:off x="7551420" y="13907770"/>
          <a:ext cx="892810" cy="644525"/>
        </a:xfrm>
        <a:prstGeom prst="rect">
          <a:avLst/>
        </a:prstGeom>
        <a:solidFill>
          <a:srgbClr val="558D8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6</xdr:col>
      <xdr:colOff>429260</xdr:colOff>
      <xdr:row>50</xdr:row>
      <xdr:rowOff>173355</xdr:rowOff>
    </xdr:from>
    <xdr:to>
      <xdr:col>6</xdr:col>
      <xdr:colOff>1322070</xdr:colOff>
      <xdr:row>54</xdr:row>
      <xdr:rowOff>86360</xdr:rowOff>
    </xdr:to>
    <xdr:sp macro="" textlink="">
      <xdr:nvSpPr>
        <xdr:cNvPr id="16" name="Rectangle 15">
          <a:extLst>
            <a:ext uri="{FF2B5EF4-FFF2-40B4-BE49-F238E27FC236}">
              <a16:creationId xmlns:a16="http://schemas.microsoft.com/office/drawing/2014/main" id="{E9BBA36F-B569-432D-818D-32619657943B}"/>
            </a:ext>
          </a:extLst>
        </xdr:cNvPr>
        <xdr:cNvSpPr/>
      </xdr:nvSpPr>
      <xdr:spPr>
        <a:xfrm>
          <a:off x="5549900" y="13904595"/>
          <a:ext cx="892810" cy="644525"/>
        </a:xfrm>
        <a:prstGeom prst="rect">
          <a:avLst/>
        </a:prstGeom>
        <a:solidFill>
          <a:srgbClr val="DD954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6</xdr:col>
      <xdr:colOff>1437005</xdr:colOff>
      <xdr:row>50</xdr:row>
      <xdr:rowOff>176530</xdr:rowOff>
    </xdr:from>
    <xdr:to>
      <xdr:col>8</xdr:col>
      <xdr:colOff>226695</xdr:colOff>
      <xdr:row>54</xdr:row>
      <xdr:rowOff>89535</xdr:rowOff>
    </xdr:to>
    <xdr:sp macro="" textlink="">
      <xdr:nvSpPr>
        <xdr:cNvPr id="17" name="Rectangle 16">
          <a:extLst>
            <a:ext uri="{FF2B5EF4-FFF2-40B4-BE49-F238E27FC236}">
              <a16:creationId xmlns:a16="http://schemas.microsoft.com/office/drawing/2014/main" id="{A3BD5BB2-2F70-4960-96F8-BD1844EDA67A}"/>
            </a:ext>
          </a:extLst>
        </xdr:cNvPr>
        <xdr:cNvSpPr/>
      </xdr:nvSpPr>
      <xdr:spPr>
        <a:xfrm>
          <a:off x="6557645" y="13907770"/>
          <a:ext cx="892810" cy="644525"/>
        </a:xfrm>
        <a:prstGeom prst="rect">
          <a:avLst/>
        </a:prstGeom>
        <a:solidFill>
          <a:srgbClr val="D06336"/>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5</xdr:col>
      <xdr:colOff>22860</xdr:colOff>
      <xdr:row>43</xdr:row>
      <xdr:rowOff>74930</xdr:rowOff>
    </xdr:from>
    <xdr:to>
      <xdr:col>6</xdr:col>
      <xdr:colOff>306070</xdr:colOff>
      <xdr:row>46</xdr:row>
      <xdr:rowOff>41275</xdr:rowOff>
    </xdr:to>
    <xdr:sp macro="" textlink="">
      <xdr:nvSpPr>
        <xdr:cNvPr id="18" name="Rectangle 17">
          <a:extLst>
            <a:ext uri="{FF2B5EF4-FFF2-40B4-BE49-F238E27FC236}">
              <a16:creationId xmlns:a16="http://schemas.microsoft.com/office/drawing/2014/main" id="{499DA736-4823-4147-90B2-582995C6298E}"/>
            </a:ext>
          </a:extLst>
        </xdr:cNvPr>
        <xdr:cNvSpPr/>
      </xdr:nvSpPr>
      <xdr:spPr>
        <a:xfrm>
          <a:off x="4533900" y="12396470"/>
          <a:ext cx="892810" cy="644525"/>
        </a:xfrm>
        <a:prstGeom prst="rect">
          <a:avLst/>
        </a:prstGeom>
        <a:solidFill>
          <a:srgbClr val="FFF2C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626110</xdr:colOff>
      <xdr:row>46</xdr:row>
      <xdr:rowOff>169545</xdr:rowOff>
    </xdr:from>
    <xdr:to>
      <xdr:col>10</xdr:col>
      <xdr:colOff>1518920</xdr:colOff>
      <xdr:row>50</xdr:row>
      <xdr:rowOff>82550</xdr:rowOff>
    </xdr:to>
    <xdr:sp macro="" textlink="">
      <xdr:nvSpPr>
        <xdr:cNvPr id="19" name="Rectangle 18">
          <a:extLst>
            <a:ext uri="{FF2B5EF4-FFF2-40B4-BE49-F238E27FC236}">
              <a16:creationId xmlns:a16="http://schemas.microsoft.com/office/drawing/2014/main" id="{0FC376AA-7A74-4800-815D-241BFE8F0106}"/>
            </a:ext>
          </a:extLst>
        </xdr:cNvPr>
        <xdr:cNvSpPr/>
      </xdr:nvSpPr>
      <xdr:spPr>
        <a:xfrm>
          <a:off x="9541510" y="13169265"/>
          <a:ext cx="892810" cy="644525"/>
        </a:xfrm>
        <a:prstGeom prst="rect">
          <a:avLst/>
        </a:prstGeom>
        <a:solidFill>
          <a:srgbClr val="E3A9A6"/>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1321435</xdr:colOff>
      <xdr:row>43</xdr:row>
      <xdr:rowOff>91440</xdr:rowOff>
    </xdr:from>
    <xdr:to>
      <xdr:col>10</xdr:col>
      <xdr:colOff>522605</xdr:colOff>
      <xdr:row>46</xdr:row>
      <xdr:rowOff>57785</xdr:rowOff>
    </xdr:to>
    <xdr:sp macro="" textlink="">
      <xdr:nvSpPr>
        <xdr:cNvPr id="20" name="Rectangle 19">
          <a:extLst>
            <a:ext uri="{FF2B5EF4-FFF2-40B4-BE49-F238E27FC236}">
              <a16:creationId xmlns:a16="http://schemas.microsoft.com/office/drawing/2014/main" id="{B0E8DA17-8B51-428A-88AF-7DBCD25DAE0D}"/>
            </a:ext>
          </a:extLst>
        </xdr:cNvPr>
        <xdr:cNvSpPr/>
      </xdr:nvSpPr>
      <xdr:spPr>
        <a:xfrm>
          <a:off x="8545195" y="12412980"/>
          <a:ext cx="892810" cy="644525"/>
        </a:xfrm>
        <a:prstGeom prst="rect">
          <a:avLst/>
        </a:prstGeom>
        <a:solidFill>
          <a:srgbClr val="CFDAE5"/>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1320165</xdr:colOff>
      <xdr:row>46</xdr:row>
      <xdr:rowOff>168910</xdr:rowOff>
    </xdr:from>
    <xdr:to>
      <xdr:col>10</xdr:col>
      <xdr:colOff>521335</xdr:colOff>
      <xdr:row>50</xdr:row>
      <xdr:rowOff>81915</xdr:rowOff>
    </xdr:to>
    <xdr:sp macro="" textlink="">
      <xdr:nvSpPr>
        <xdr:cNvPr id="21" name="Rectangle 20">
          <a:extLst>
            <a:ext uri="{FF2B5EF4-FFF2-40B4-BE49-F238E27FC236}">
              <a16:creationId xmlns:a16="http://schemas.microsoft.com/office/drawing/2014/main" id="{9F5C2E30-57A5-4214-AD9B-DEA73744F297}"/>
            </a:ext>
          </a:extLst>
        </xdr:cNvPr>
        <xdr:cNvSpPr/>
      </xdr:nvSpPr>
      <xdr:spPr>
        <a:xfrm>
          <a:off x="8543925" y="13168630"/>
          <a:ext cx="892810" cy="644525"/>
        </a:xfrm>
        <a:prstGeom prst="rect">
          <a:avLst/>
        </a:prstGeom>
        <a:solidFill>
          <a:srgbClr val="ADBEC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8</xdr:col>
      <xdr:colOff>1318895</xdr:colOff>
      <xdr:row>39</xdr:row>
      <xdr:rowOff>91440</xdr:rowOff>
    </xdr:from>
    <xdr:to>
      <xdr:col>10</xdr:col>
      <xdr:colOff>520065</xdr:colOff>
      <xdr:row>43</xdr:row>
      <xdr:rowOff>4445</xdr:rowOff>
    </xdr:to>
    <xdr:sp macro="" textlink="">
      <xdr:nvSpPr>
        <xdr:cNvPr id="22" name="Rectangle 21">
          <a:extLst>
            <a:ext uri="{FF2B5EF4-FFF2-40B4-BE49-F238E27FC236}">
              <a16:creationId xmlns:a16="http://schemas.microsoft.com/office/drawing/2014/main" id="{E8921F3C-5C88-44DE-A57A-B97771D0BD9E}"/>
            </a:ext>
          </a:extLst>
        </xdr:cNvPr>
        <xdr:cNvSpPr/>
      </xdr:nvSpPr>
      <xdr:spPr>
        <a:xfrm>
          <a:off x="8542655" y="11681460"/>
          <a:ext cx="892810" cy="644525"/>
        </a:xfrm>
        <a:prstGeom prst="rect">
          <a:avLst/>
        </a:prstGeom>
        <a:solidFill>
          <a:srgbClr val="CEE5E5"/>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6</xdr:col>
      <xdr:colOff>426085</xdr:colOff>
      <xdr:row>43</xdr:row>
      <xdr:rowOff>72390</xdr:rowOff>
    </xdr:from>
    <xdr:to>
      <xdr:col>6</xdr:col>
      <xdr:colOff>1318895</xdr:colOff>
      <xdr:row>46</xdr:row>
      <xdr:rowOff>38735</xdr:rowOff>
    </xdr:to>
    <xdr:sp macro="" textlink="">
      <xdr:nvSpPr>
        <xdr:cNvPr id="23" name="Rectangle 22">
          <a:extLst>
            <a:ext uri="{FF2B5EF4-FFF2-40B4-BE49-F238E27FC236}">
              <a16:creationId xmlns:a16="http://schemas.microsoft.com/office/drawing/2014/main" id="{7F1C6797-5615-4769-BBF8-B0FE086B707B}"/>
            </a:ext>
          </a:extLst>
        </xdr:cNvPr>
        <xdr:cNvSpPr/>
      </xdr:nvSpPr>
      <xdr:spPr>
        <a:xfrm>
          <a:off x="5546725" y="12393930"/>
          <a:ext cx="892810" cy="644525"/>
        </a:xfrm>
        <a:prstGeom prst="rect">
          <a:avLst/>
        </a:prstGeom>
        <a:solidFill>
          <a:srgbClr val="F3F0EB"/>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AU"/>
        </a:p>
      </xdr:txBody>
    </xdr:sp>
    <xdr:clientData/>
  </xdr:twoCellAnchor>
  <xdr:twoCellAnchor>
    <xdr:from>
      <xdr:col>10</xdr:col>
      <xdr:colOff>2104182</xdr:colOff>
      <xdr:row>15</xdr:row>
      <xdr:rowOff>19050</xdr:rowOff>
    </xdr:from>
    <xdr:to>
      <xdr:col>12</xdr:col>
      <xdr:colOff>326369</xdr:colOff>
      <xdr:row>20</xdr:row>
      <xdr:rowOff>752478</xdr:rowOff>
    </xdr:to>
    <xdr:sp macro="" textlink="">
      <xdr:nvSpPr>
        <xdr:cNvPr id="24" name="Isosceles Triangle 23">
          <a:extLst>
            <a:ext uri="{FF2B5EF4-FFF2-40B4-BE49-F238E27FC236}">
              <a16:creationId xmlns:a16="http://schemas.microsoft.com/office/drawing/2014/main" id="{0A4FF9CC-1BBA-4783-A4B5-E0AA7F0089D7}"/>
            </a:ext>
          </a:extLst>
        </xdr:cNvPr>
        <xdr:cNvSpPr/>
      </xdr:nvSpPr>
      <xdr:spPr>
        <a:xfrm rot="5400000">
          <a:off x="10160202" y="4741770"/>
          <a:ext cx="2234568" cy="515807"/>
        </a:xfrm>
        <a:prstGeom prst="triangl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44116</xdr:colOff>
      <xdr:row>17</xdr:row>
      <xdr:rowOff>170294</xdr:rowOff>
    </xdr:from>
    <xdr:to>
      <xdr:col>2</xdr:col>
      <xdr:colOff>40104</xdr:colOff>
      <xdr:row>18</xdr:row>
      <xdr:rowOff>273652</xdr:rowOff>
    </xdr:to>
    <xdr:sp macro="" textlink="">
      <xdr:nvSpPr>
        <xdr:cNvPr id="25" name="Isosceles Triangle 24">
          <a:extLst>
            <a:ext uri="{FF2B5EF4-FFF2-40B4-BE49-F238E27FC236}">
              <a16:creationId xmlns:a16="http://schemas.microsoft.com/office/drawing/2014/main" id="{CBB08E6D-1DA2-402A-A529-EC609105A03E}"/>
            </a:ext>
          </a:extLst>
        </xdr:cNvPr>
        <xdr:cNvSpPr/>
      </xdr:nvSpPr>
      <xdr:spPr>
        <a:xfrm>
          <a:off x="249856" y="4597514"/>
          <a:ext cx="704648" cy="385298"/>
        </a:xfrm>
        <a:prstGeom prst="triangle">
          <a:avLst>
            <a:gd name="adj" fmla="val 0"/>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43082</xdr:colOff>
      <xdr:row>19</xdr:row>
      <xdr:rowOff>1263</xdr:rowOff>
    </xdr:from>
    <xdr:to>
      <xdr:col>2</xdr:col>
      <xdr:colOff>39070</xdr:colOff>
      <xdr:row>19</xdr:row>
      <xdr:rowOff>367553</xdr:rowOff>
    </xdr:to>
    <xdr:sp macro="" textlink="">
      <xdr:nvSpPr>
        <xdr:cNvPr id="26" name="Isosceles Triangle 25">
          <a:extLst>
            <a:ext uri="{FF2B5EF4-FFF2-40B4-BE49-F238E27FC236}">
              <a16:creationId xmlns:a16="http://schemas.microsoft.com/office/drawing/2014/main" id="{B5B02029-1F44-4954-96D0-FE962D5A63AA}"/>
            </a:ext>
          </a:extLst>
        </xdr:cNvPr>
        <xdr:cNvSpPr/>
      </xdr:nvSpPr>
      <xdr:spPr>
        <a:xfrm flipV="1">
          <a:off x="248822" y="4984743"/>
          <a:ext cx="704648" cy="366290"/>
        </a:xfrm>
        <a:prstGeom prst="triangle">
          <a:avLst>
            <a:gd name="adj" fmla="val 0"/>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43082</xdr:colOff>
      <xdr:row>19</xdr:row>
      <xdr:rowOff>1263</xdr:rowOff>
    </xdr:from>
    <xdr:to>
      <xdr:col>2</xdr:col>
      <xdr:colOff>39070</xdr:colOff>
      <xdr:row>19</xdr:row>
      <xdr:rowOff>367553</xdr:rowOff>
    </xdr:to>
    <xdr:sp macro="" textlink="">
      <xdr:nvSpPr>
        <xdr:cNvPr id="27" name="Isosceles Triangle 26">
          <a:extLst>
            <a:ext uri="{FF2B5EF4-FFF2-40B4-BE49-F238E27FC236}">
              <a16:creationId xmlns:a16="http://schemas.microsoft.com/office/drawing/2014/main" id="{D7BD19F4-F727-47FC-97F4-D8B8A457E826}"/>
            </a:ext>
          </a:extLst>
        </xdr:cNvPr>
        <xdr:cNvSpPr/>
      </xdr:nvSpPr>
      <xdr:spPr>
        <a:xfrm flipV="1">
          <a:off x="248822" y="4984743"/>
          <a:ext cx="704648" cy="366290"/>
        </a:xfrm>
        <a:prstGeom prst="triangle">
          <a:avLst>
            <a:gd name="adj" fmla="val 0"/>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showGridLines="0" tabSelected="1" zoomScaleNormal="100" workbookViewId="0">
      <selection activeCell="A56" sqref="A56"/>
    </sheetView>
  </sheetViews>
  <sheetFormatPr defaultRowHeight="14.4" x14ac:dyDescent="0.3"/>
  <sheetData>
    <row r="1" spans="1:14" ht="7.2" customHeight="1" x14ac:dyDescent="0.3">
      <c r="A1" s="2"/>
      <c r="B1" s="2"/>
      <c r="C1" s="2"/>
      <c r="D1" s="2"/>
      <c r="E1" s="2"/>
      <c r="F1" s="2"/>
      <c r="G1" s="2"/>
      <c r="H1" s="2"/>
      <c r="I1" s="2"/>
      <c r="J1" s="2"/>
      <c r="K1" s="2"/>
      <c r="L1" s="2"/>
      <c r="M1" s="2"/>
      <c r="N1" s="2"/>
    </row>
    <row r="2" spans="1:14" ht="25.8" x14ac:dyDescent="0.3">
      <c r="A2" s="64" t="s">
        <v>0</v>
      </c>
      <c r="B2" s="64"/>
      <c r="C2" s="64"/>
      <c r="D2" s="64"/>
      <c r="E2" s="64"/>
      <c r="F2" s="64"/>
      <c r="G2" s="64"/>
      <c r="H2" s="64"/>
      <c r="I2" s="64"/>
      <c r="J2" s="64"/>
      <c r="K2" s="64"/>
      <c r="L2" s="64"/>
      <c r="M2" s="64"/>
      <c r="N2" s="64"/>
    </row>
    <row r="3" spans="1:14" ht="4.8" customHeight="1" x14ac:dyDescent="0.5">
      <c r="A3" s="2"/>
      <c r="B3" s="3"/>
      <c r="C3" s="2"/>
      <c r="D3" s="2"/>
      <c r="E3" s="2"/>
      <c r="F3" s="2"/>
      <c r="G3" s="2"/>
      <c r="H3" s="2"/>
      <c r="I3" s="2"/>
      <c r="J3" s="2"/>
      <c r="K3" s="2"/>
      <c r="L3" s="2"/>
      <c r="M3" s="2"/>
      <c r="N3" s="2"/>
    </row>
    <row r="4" spans="1:14" ht="19.2" customHeight="1" x14ac:dyDescent="0.3">
      <c r="A4" s="2"/>
      <c r="B4" s="4" t="s">
        <v>1</v>
      </c>
      <c r="C4" s="65"/>
      <c r="D4" s="66"/>
      <c r="E4" s="67"/>
      <c r="F4" s="2"/>
      <c r="G4" s="4" t="s">
        <v>2</v>
      </c>
      <c r="H4" s="65"/>
      <c r="I4" s="66"/>
      <c r="J4" s="67"/>
      <c r="K4" s="2"/>
      <c r="L4" s="5" t="s">
        <v>3</v>
      </c>
      <c r="M4" s="2"/>
      <c r="N4" s="2"/>
    </row>
    <row r="5" spans="1:14" x14ac:dyDescent="0.3">
      <c r="A5" s="1"/>
      <c r="B5" s="1"/>
      <c r="C5" s="1"/>
      <c r="D5" s="1"/>
      <c r="E5" s="1"/>
      <c r="F5" s="1"/>
      <c r="G5" s="1"/>
      <c r="H5" s="1"/>
      <c r="I5" s="1"/>
      <c r="J5" s="1"/>
      <c r="K5" s="1"/>
      <c r="L5" s="1"/>
      <c r="M5" s="1"/>
      <c r="N5" s="1"/>
    </row>
    <row r="35" spans="1:14" ht="11.4" customHeight="1" x14ac:dyDescent="0.3"/>
    <row r="36" spans="1:14" ht="15" thickBot="1" x14ac:dyDescent="0.35">
      <c r="A36" s="7"/>
      <c r="B36" s="7"/>
      <c r="C36" s="7"/>
      <c r="D36" s="7"/>
      <c r="E36" s="7"/>
      <c r="F36" s="7"/>
      <c r="G36" s="7"/>
      <c r="H36" s="7"/>
      <c r="I36" s="7"/>
      <c r="J36" s="7"/>
      <c r="K36" s="7"/>
      <c r="L36" s="7"/>
      <c r="M36" s="7"/>
      <c r="N36" s="7"/>
    </row>
    <row r="37" spans="1:14" ht="26.4" thickBot="1" x14ac:dyDescent="0.35">
      <c r="A37" s="8"/>
      <c r="B37" s="16" t="s">
        <v>5</v>
      </c>
      <c r="C37" s="72" t="s">
        <v>13</v>
      </c>
      <c r="D37" s="73"/>
      <c r="E37" s="73"/>
      <c r="F37" s="73"/>
      <c r="G37" s="73"/>
      <c r="H37" s="73"/>
      <c r="I37" s="61" t="s">
        <v>4</v>
      </c>
      <c r="J37" s="62"/>
      <c r="K37" s="63"/>
      <c r="L37" s="68" t="s">
        <v>14</v>
      </c>
      <c r="M37" s="69"/>
      <c r="N37" s="8"/>
    </row>
    <row r="38" spans="1:14" s="6" customFormat="1" ht="25.05" customHeight="1" x14ac:dyDescent="0.3">
      <c r="A38" s="9"/>
      <c r="B38" s="17">
        <f>IF(AND(ISBLANK(D38),ISBLANK(C38)),"",1)</f>
        <v>1</v>
      </c>
      <c r="C38" s="74" t="s">
        <v>16</v>
      </c>
      <c r="D38" s="75"/>
      <c r="E38" s="75"/>
      <c r="F38" s="75"/>
      <c r="G38" s="75"/>
      <c r="H38" s="75"/>
      <c r="I38" s="54" t="s">
        <v>15</v>
      </c>
      <c r="J38" s="54"/>
      <c r="K38" s="54"/>
      <c r="L38" s="70" t="s">
        <v>17</v>
      </c>
      <c r="M38" s="71"/>
      <c r="N38" s="9"/>
    </row>
    <row r="39" spans="1:14" s="6" customFormat="1" ht="25.05" customHeight="1" x14ac:dyDescent="0.3">
      <c r="A39" s="9"/>
      <c r="B39" s="18">
        <f>IF(AND(ISBLANK(D39),ISBLANK(C39)),"",MAX(B$16:B38)+1)</f>
        <v>2</v>
      </c>
      <c r="C39" s="50" t="s">
        <v>19</v>
      </c>
      <c r="D39" s="51"/>
      <c r="E39" s="51"/>
      <c r="F39" s="51"/>
      <c r="G39" s="51"/>
      <c r="H39" s="51"/>
      <c r="I39" s="59" t="s">
        <v>18</v>
      </c>
      <c r="J39" s="59"/>
      <c r="K39" s="59"/>
      <c r="L39" s="55" t="s">
        <v>23</v>
      </c>
      <c r="M39" s="56"/>
      <c r="N39" s="9"/>
    </row>
    <row r="40" spans="1:14" s="6" customFormat="1" ht="25.05" customHeight="1" x14ac:dyDescent="0.3">
      <c r="A40" s="9"/>
      <c r="B40" s="18">
        <f>IF(AND(ISBLANK(D40),ISBLANK(C40)),"",MAX(B$16:B39)+1)</f>
        <v>3</v>
      </c>
      <c r="C40" s="50" t="s">
        <v>22</v>
      </c>
      <c r="D40" s="51"/>
      <c r="E40" s="51"/>
      <c r="F40" s="51"/>
      <c r="G40" s="51"/>
      <c r="H40" s="51"/>
      <c r="I40" s="59" t="s">
        <v>21</v>
      </c>
      <c r="J40" s="59"/>
      <c r="K40" s="59"/>
      <c r="L40" s="55" t="s">
        <v>20</v>
      </c>
      <c r="M40" s="56"/>
      <c r="N40" s="9"/>
    </row>
    <row r="41" spans="1:14" s="6" customFormat="1" ht="25.05" customHeight="1" x14ac:dyDescent="0.3">
      <c r="A41" s="9"/>
      <c r="B41" s="18" t="str">
        <f>IF(AND(ISBLANK(D41),ISBLANK(C41)),"",MAX(B$16:B40)+1)</f>
        <v/>
      </c>
      <c r="C41" s="50"/>
      <c r="D41" s="51"/>
      <c r="E41" s="51"/>
      <c r="F41" s="51"/>
      <c r="G41" s="51"/>
      <c r="H41" s="51"/>
      <c r="I41" s="59"/>
      <c r="J41" s="59"/>
      <c r="K41" s="59"/>
      <c r="L41" s="55"/>
      <c r="M41" s="56"/>
      <c r="N41" s="9"/>
    </row>
    <row r="42" spans="1:14" s="6" customFormat="1" ht="25.05" customHeight="1" x14ac:dyDescent="0.3">
      <c r="A42" s="9"/>
      <c r="B42" s="18" t="str">
        <f>IF(AND(ISBLANK(D42),ISBLANK(C42)),"",MAX(B$16:B41)+1)</f>
        <v/>
      </c>
      <c r="C42" s="50"/>
      <c r="D42" s="51"/>
      <c r="E42" s="51"/>
      <c r="F42" s="51"/>
      <c r="G42" s="51"/>
      <c r="H42" s="51"/>
      <c r="I42" s="59"/>
      <c r="J42" s="59"/>
      <c r="K42" s="59"/>
      <c r="L42" s="55"/>
      <c r="M42" s="56"/>
      <c r="N42" s="9"/>
    </row>
    <row r="43" spans="1:14" s="6" customFormat="1" ht="25.05" customHeight="1" x14ac:dyDescent="0.3">
      <c r="A43" s="9"/>
      <c r="B43" s="18" t="str">
        <f>IF(AND(ISBLANK(D43),ISBLANK(C43)),"",MAX(B$16:B42)+1)</f>
        <v/>
      </c>
      <c r="C43" s="50"/>
      <c r="D43" s="51"/>
      <c r="E43" s="51"/>
      <c r="F43" s="51"/>
      <c r="G43" s="51"/>
      <c r="H43" s="51"/>
      <c r="I43" s="59"/>
      <c r="J43" s="59"/>
      <c r="K43" s="59"/>
      <c r="L43" s="55"/>
      <c r="M43" s="56"/>
      <c r="N43" s="9"/>
    </row>
    <row r="44" spans="1:14" ht="25.05" customHeight="1" x14ac:dyDescent="0.3">
      <c r="A44" s="7"/>
      <c r="B44" s="18" t="str">
        <f>IF(AND(ISBLANK(D44),ISBLANK(C44)),"",MAX(B$16:B43)+1)</f>
        <v/>
      </c>
      <c r="C44" s="50"/>
      <c r="D44" s="51"/>
      <c r="E44" s="51"/>
      <c r="F44" s="51"/>
      <c r="G44" s="51"/>
      <c r="H44" s="51"/>
      <c r="I44" s="59"/>
      <c r="J44" s="59"/>
      <c r="K44" s="59"/>
      <c r="L44" s="55"/>
      <c r="M44" s="56"/>
      <c r="N44" s="7"/>
    </row>
    <row r="45" spans="1:14" ht="25.05" customHeight="1" x14ac:dyDescent="0.3">
      <c r="A45" s="7"/>
      <c r="B45" s="18" t="str">
        <f>IF(AND(ISBLANK(D45),ISBLANK(C45)),"",MAX(B$16:B44)+1)</f>
        <v/>
      </c>
      <c r="C45" s="50"/>
      <c r="D45" s="51"/>
      <c r="E45" s="51"/>
      <c r="F45" s="51"/>
      <c r="G45" s="51"/>
      <c r="H45" s="51"/>
      <c r="I45" s="59"/>
      <c r="J45" s="59"/>
      <c r="K45" s="59"/>
      <c r="L45" s="55"/>
      <c r="M45" s="56"/>
      <c r="N45" s="7"/>
    </row>
    <row r="46" spans="1:14" ht="25.05" customHeight="1" x14ac:dyDescent="0.3">
      <c r="A46" s="7"/>
      <c r="B46" s="18" t="str">
        <f>IF(AND(ISBLANK(D46),ISBLANK(C46)),"",MAX(B$16:B45)+1)</f>
        <v/>
      </c>
      <c r="C46" s="50"/>
      <c r="D46" s="51"/>
      <c r="E46" s="51"/>
      <c r="F46" s="51"/>
      <c r="G46" s="51"/>
      <c r="H46" s="51"/>
      <c r="I46" s="59"/>
      <c r="J46" s="59"/>
      <c r="K46" s="59"/>
      <c r="L46" s="55"/>
      <c r="M46" s="56"/>
      <c r="N46" s="7"/>
    </row>
    <row r="47" spans="1:14" ht="25.05" customHeight="1" thickBot="1" x14ac:dyDescent="0.35">
      <c r="A47" s="7"/>
      <c r="B47" s="19" t="str">
        <f>IF(AND(ISBLANK(D47),ISBLANK(C47)),"",MAX(B$16:B46)+1)</f>
        <v/>
      </c>
      <c r="C47" s="52"/>
      <c r="D47" s="53"/>
      <c r="E47" s="53"/>
      <c r="F47" s="53"/>
      <c r="G47" s="53"/>
      <c r="H47" s="53"/>
      <c r="I47" s="60"/>
      <c r="J47" s="60"/>
      <c r="K47" s="60"/>
      <c r="L47" s="57"/>
      <c r="M47" s="58"/>
      <c r="N47" s="7"/>
    </row>
    <row r="48" spans="1:14" ht="14.4" customHeight="1" x14ac:dyDescent="0.3">
      <c r="A48" s="7"/>
      <c r="B48" s="7"/>
      <c r="C48" s="7"/>
      <c r="D48" s="7"/>
      <c r="E48" s="7"/>
      <c r="F48" s="7"/>
      <c r="G48" s="7"/>
      <c r="H48" s="7"/>
      <c r="I48" s="7"/>
      <c r="J48" s="7"/>
      <c r="K48" s="7"/>
      <c r="L48" s="7"/>
      <c r="M48" s="7"/>
      <c r="N48" s="7"/>
    </row>
    <row r="49" spans="2:4" ht="14.4" customHeight="1" x14ac:dyDescent="0.3"/>
    <row r="50" spans="2:4" ht="25.05" customHeight="1" x14ac:dyDescent="0.3"/>
    <row r="51" spans="2:4" ht="25.05" customHeight="1" x14ac:dyDescent="0.3">
      <c r="B51" s="22"/>
      <c r="C51" s="21" t="s">
        <v>24</v>
      </c>
      <c r="D51" s="22"/>
    </row>
    <row r="52" spans="2:4" ht="25.05" customHeight="1" x14ac:dyDescent="0.3">
      <c r="B52" s="22"/>
      <c r="C52" s="20" t="s">
        <v>17</v>
      </c>
      <c r="D52" s="22"/>
    </row>
    <row r="53" spans="2:4" ht="25.05" customHeight="1" x14ac:dyDescent="0.3">
      <c r="B53" s="22"/>
      <c r="C53" s="20" t="s">
        <v>20</v>
      </c>
      <c r="D53" s="22"/>
    </row>
    <row r="54" spans="2:4" ht="25.05" customHeight="1" x14ac:dyDescent="0.3">
      <c r="B54" s="22"/>
      <c r="C54" s="20" t="s">
        <v>23</v>
      </c>
      <c r="D54" s="22"/>
    </row>
    <row r="55" spans="2:4" ht="25.05" customHeight="1" x14ac:dyDescent="0.3"/>
  </sheetData>
  <mergeCells count="36">
    <mergeCell ref="I37:K37"/>
    <mergeCell ref="L44:M44"/>
    <mergeCell ref="L45:M45"/>
    <mergeCell ref="A2:N2"/>
    <mergeCell ref="H4:J4"/>
    <mergeCell ref="C4:E4"/>
    <mergeCell ref="L37:M37"/>
    <mergeCell ref="L38:M38"/>
    <mergeCell ref="C37:H37"/>
    <mergeCell ref="C38:H38"/>
    <mergeCell ref="C44:H44"/>
    <mergeCell ref="C45:H45"/>
    <mergeCell ref="L46:M46"/>
    <mergeCell ref="L47:M47"/>
    <mergeCell ref="I43:K43"/>
    <mergeCell ref="I39:K39"/>
    <mergeCell ref="I40:K40"/>
    <mergeCell ref="I41:K41"/>
    <mergeCell ref="I42:K42"/>
    <mergeCell ref="L43:M43"/>
    <mergeCell ref="L41:M41"/>
    <mergeCell ref="L42:M42"/>
    <mergeCell ref="I44:K44"/>
    <mergeCell ref="I45:K45"/>
    <mergeCell ref="I46:K46"/>
    <mergeCell ref="I47:K47"/>
    <mergeCell ref="L39:M39"/>
    <mergeCell ref="L40:M40"/>
    <mergeCell ref="C46:H46"/>
    <mergeCell ref="C47:H47"/>
    <mergeCell ref="I38:K38"/>
    <mergeCell ref="C39:H39"/>
    <mergeCell ref="C40:H40"/>
    <mergeCell ref="C41:H41"/>
    <mergeCell ref="C42:H42"/>
    <mergeCell ref="C43:H43"/>
  </mergeCells>
  <dataValidations count="1">
    <dataValidation type="list" allowBlank="1" showInputMessage="1" showErrorMessage="1" sqref="L38:M47" xr:uid="{00000000-0002-0000-0000-000000000000}">
      <formula1>$C$52:$C$54</formula1>
    </dataValidation>
  </dataValidations>
  <pageMargins left="0.7" right="0.7" top="0.75" bottom="0.75" header="0.3" footer="0.3"/>
  <pageSetup paperSize="9" scale="70"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A9858D58-B45D-4EC6-8FC1-F9DE1EC44CA1}">
            <xm:f>NOT(ISERROR(SEARCH($C$54,L38)))</xm:f>
            <xm:f>$C$54</xm:f>
            <x14:dxf>
              <fill>
                <patternFill>
                  <bgColor rgb="FFDAF0E6"/>
                </patternFill>
              </fill>
            </x14:dxf>
          </x14:cfRule>
          <x14:cfRule type="containsText" priority="2" operator="containsText" id="{EABB56BB-E9E4-4159-9BDB-AFD715268E16}">
            <xm:f>NOT(ISERROR(SEARCH($C$53,L38)))</xm:f>
            <xm:f>$C$53</xm:f>
            <x14:dxf>
              <fill>
                <patternFill>
                  <bgColor theme="7" tint="0.79998168889431442"/>
                </patternFill>
              </fill>
            </x14:dxf>
          </x14:cfRule>
          <x14:cfRule type="containsText" priority="3" operator="containsText" id="{3C55131A-5177-4BA5-AB21-587293F92753}">
            <xm:f>NOT(ISERROR(SEARCH($C$52,L38)))</xm:f>
            <xm:f>$C$52</xm:f>
            <x14:dxf>
              <fill>
                <patternFill>
                  <bgColor theme="5" tint="0.79998168889431442"/>
                </patternFill>
              </fill>
            </x14:dxf>
          </x14:cfRule>
          <xm:sqref>L38:L47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
  <sheetViews>
    <sheetView showGridLines="0" zoomScaleNormal="100" workbookViewId="0">
      <selection activeCell="A57" sqref="A57"/>
    </sheetView>
  </sheetViews>
  <sheetFormatPr defaultRowHeight="14.4" x14ac:dyDescent="0.3"/>
  <sheetData>
    <row r="1" spans="1:14" ht="7.2" customHeight="1" x14ac:dyDescent="0.3">
      <c r="A1" s="2"/>
      <c r="B1" s="2"/>
      <c r="C1" s="2"/>
      <c r="D1" s="2"/>
      <c r="E1" s="2"/>
      <c r="F1" s="2"/>
      <c r="G1" s="2"/>
      <c r="H1" s="2"/>
      <c r="I1" s="2"/>
      <c r="J1" s="2"/>
      <c r="K1" s="2"/>
      <c r="L1" s="2"/>
      <c r="M1" s="2"/>
      <c r="N1" s="2"/>
    </row>
    <row r="2" spans="1:14" ht="25.8" x14ac:dyDescent="0.3">
      <c r="A2" s="64" t="s">
        <v>0</v>
      </c>
      <c r="B2" s="64"/>
      <c r="C2" s="64"/>
      <c r="D2" s="64"/>
      <c r="E2" s="64"/>
      <c r="F2" s="64"/>
      <c r="G2" s="64"/>
      <c r="H2" s="64"/>
      <c r="I2" s="64"/>
      <c r="J2" s="64"/>
      <c r="K2" s="64"/>
      <c r="L2" s="64"/>
      <c r="M2" s="64"/>
      <c r="N2" s="64"/>
    </row>
    <row r="3" spans="1:14" ht="4.8" customHeight="1" x14ac:dyDescent="0.5">
      <c r="A3" s="2"/>
      <c r="B3" s="3"/>
      <c r="C3" s="2"/>
      <c r="D3" s="2"/>
      <c r="E3" s="2"/>
      <c r="F3" s="2"/>
      <c r="G3" s="2"/>
      <c r="H3" s="2"/>
      <c r="I3" s="2"/>
      <c r="J3" s="2"/>
      <c r="K3" s="2"/>
      <c r="L3" s="2"/>
      <c r="M3" s="2"/>
      <c r="N3" s="2"/>
    </row>
    <row r="4" spans="1:14" ht="19.2" customHeight="1" x14ac:dyDescent="0.3">
      <c r="A4" s="2"/>
      <c r="B4" s="4" t="s">
        <v>1</v>
      </c>
      <c r="C4" s="65"/>
      <c r="D4" s="66"/>
      <c r="E4" s="67"/>
      <c r="F4" s="2"/>
      <c r="G4" s="4" t="s">
        <v>2</v>
      </c>
      <c r="H4" s="65"/>
      <c r="I4" s="66"/>
      <c r="J4" s="67"/>
      <c r="K4" s="2"/>
      <c r="L4" s="5" t="s">
        <v>3</v>
      </c>
      <c r="M4" s="2"/>
      <c r="N4" s="2"/>
    </row>
    <row r="5" spans="1:14" x14ac:dyDescent="0.3">
      <c r="A5" s="1"/>
      <c r="B5" s="1"/>
      <c r="C5" s="1"/>
      <c r="D5" s="1"/>
      <c r="E5" s="1"/>
      <c r="F5" s="1"/>
      <c r="G5" s="1"/>
      <c r="H5" s="1"/>
      <c r="I5" s="1"/>
      <c r="J5" s="1"/>
      <c r="K5" s="1"/>
      <c r="L5" s="1"/>
      <c r="M5" s="1"/>
      <c r="N5" s="1"/>
    </row>
    <row r="35" spans="1:14" ht="11.4" customHeight="1" x14ac:dyDescent="0.3"/>
    <row r="36" spans="1:14" ht="15" thickBot="1" x14ac:dyDescent="0.35">
      <c r="A36" s="7"/>
      <c r="B36" s="7"/>
      <c r="C36" s="7"/>
      <c r="D36" s="7"/>
      <c r="E36" s="7"/>
      <c r="F36" s="7"/>
      <c r="G36" s="7"/>
      <c r="H36" s="7"/>
      <c r="I36" s="7"/>
      <c r="J36" s="7"/>
      <c r="K36" s="7"/>
      <c r="L36" s="7"/>
      <c r="M36" s="7"/>
      <c r="N36" s="7"/>
    </row>
    <row r="37" spans="1:14" ht="26.4" thickBot="1" x14ac:dyDescent="0.35">
      <c r="A37" s="8"/>
      <c r="B37" s="16" t="s">
        <v>5</v>
      </c>
      <c r="C37" s="72" t="s">
        <v>13</v>
      </c>
      <c r="D37" s="73"/>
      <c r="E37" s="73"/>
      <c r="F37" s="73"/>
      <c r="G37" s="73"/>
      <c r="H37" s="73"/>
      <c r="I37" s="61" t="s">
        <v>4</v>
      </c>
      <c r="J37" s="62"/>
      <c r="K37" s="63"/>
      <c r="L37" s="68" t="s">
        <v>14</v>
      </c>
      <c r="M37" s="69"/>
      <c r="N37" s="8"/>
    </row>
    <row r="38" spans="1:14" s="6" customFormat="1" ht="25.05" customHeight="1" x14ac:dyDescent="0.3">
      <c r="A38" s="9"/>
      <c r="B38" s="17">
        <f>IF(AND(ISBLANK(D38),ISBLANK(C38)),"",1)</f>
        <v>1</v>
      </c>
      <c r="C38" s="74" t="s">
        <v>16</v>
      </c>
      <c r="D38" s="75"/>
      <c r="E38" s="75"/>
      <c r="F38" s="75"/>
      <c r="G38" s="75"/>
      <c r="H38" s="75"/>
      <c r="I38" s="54" t="s">
        <v>15</v>
      </c>
      <c r="J38" s="54"/>
      <c r="K38" s="54"/>
      <c r="L38" s="70" t="s">
        <v>17</v>
      </c>
      <c r="M38" s="71"/>
      <c r="N38" s="9"/>
    </row>
    <row r="39" spans="1:14" s="6" customFormat="1" ht="25.05" customHeight="1" x14ac:dyDescent="0.3">
      <c r="A39" s="9"/>
      <c r="B39" s="18">
        <f>IF(AND(ISBLANK(D39),ISBLANK(C39)),"",MAX(B$16:B38)+1)</f>
        <v>2</v>
      </c>
      <c r="C39" s="50" t="s">
        <v>19</v>
      </c>
      <c r="D39" s="51"/>
      <c r="E39" s="51"/>
      <c r="F39" s="51"/>
      <c r="G39" s="51"/>
      <c r="H39" s="51"/>
      <c r="I39" s="59" t="s">
        <v>18</v>
      </c>
      <c r="J39" s="59"/>
      <c r="K39" s="59"/>
      <c r="L39" s="55" t="s">
        <v>20</v>
      </c>
      <c r="M39" s="56"/>
      <c r="N39" s="9"/>
    </row>
    <row r="40" spans="1:14" s="6" customFormat="1" ht="25.05" customHeight="1" x14ac:dyDescent="0.3">
      <c r="A40" s="9"/>
      <c r="B40" s="18">
        <f>IF(AND(ISBLANK(D40),ISBLANK(C40)),"",MAX(B$16:B39)+1)</f>
        <v>3</v>
      </c>
      <c r="C40" s="50" t="s">
        <v>22</v>
      </c>
      <c r="D40" s="51"/>
      <c r="E40" s="51"/>
      <c r="F40" s="51"/>
      <c r="G40" s="51"/>
      <c r="H40" s="51"/>
      <c r="I40" s="59" t="s">
        <v>21</v>
      </c>
      <c r="J40" s="59"/>
      <c r="K40" s="59"/>
      <c r="L40" s="55" t="s">
        <v>23</v>
      </c>
      <c r="M40" s="56"/>
      <c r="N40" s="9"/>
    </row>
    <row r="41" spans="1:14" s="6" customFormat="1" ht="25.05" customHeight="1" x14ac:dyDescent="0.3">
      <c r="A41" s="9"/>
      <c r="B41" s="18" t="str">
        <f>IF(AND(ISBLANK(D41),ISBLANK(C41)),"",MAX(B$16:B40)+1)</f>
        <v/>
      </c>
      <c r="C41" s="50"/>
      <c r="D41" s="51"/>
      <c r="E41" s="51"/>
      <c r="F41" s="51"/>
      <c r="G41" s="51"/>
      <c r="H41" s="51"/>
      <c r="I41" s="59"/>
      <c r="J41" s="59"/>
      <c r="K41" s="59"/>
      <c r="L41" s="55"/>
      <c r="M41" s="56"/>
      <c r="N41" s="9"/>
    </row>
    <row r="42" spans="1:14" s="6" customFormat="1" ht="25.05" customHeight="1" x14ac:dyDescent="0.3">
      <c r="A42" s="9"/>
      <c r="B42" s="18" t="str">
        <f>IF(AND(ISBLANK(D42),ISBLANK(C42)),"",MAX(B$16:B41)+1)</f>
        <v/>
      </c>
      <c r="C42" s="50"/>
      <c r="D42" s="51"/>
      <c r="E42" s="51"/>
      <c r="F42" s="51"/>
      <c r="G42" s="51"/>
      <c r="H42" s="51"/>
      <c r="I42" s="59"/>
      <c r="J42" s="59"/>
      <c r="K42" s="59"/>
      <c r="L42" s="55"/>
      <c r="M42" s="56"/>
      <c r="N42" s="9"/>
    </row>
    <row r="43" spans="1:14" s="6" customFormat="1" ht="25.05" customHeight="1" x14ac:dyDescent="0.3">
      <c r="A43" s="9"/>
      <c r="B43" s="18" t="str">
        <f>IF(AND(ISBLANK(D43),ISBLANK(C43)),"",MAX(B$16:B42)+1)</f>
        <v/>
      </c>
      <c r="C43" s="50"/>
      <c r="D43" s="51"/>
      <c r="E43" s="51"/>
      <c r="F43" s="51"/>
      <c r="G43" s="51"/>
      <c r="H43" s="51"/>
      <c r="I43" s="59"/>
      <c r="J43" s="59"/>
      <c r="K43" s="59"/>
      <c r="L43" s="55"/>
      <c r="M43" s="56"/>
      <c r="N43" s="9"/>
    </row>
    <row r="44" spans="1:14" ht="25.05" customHeight="1" x14ac:dyDescent="0.3">
      <c r="A44" s="7"/>
      <c r="B44" s="18" t="str">
        <f>IF(AND(ISBLANK(D44),ISBLANK(C44)),"",MAX(B$16:B43)+1)</f>
        <v/>
      </c>
      <c r="C44" s="50"/>
      <c r="D44" s="51"/>
      <c r="E44" s="51"/>
      <c r="F44" s="51"/>
      <c r="G44" s="51"/>
      <c r="H44" s="51"/>
      <c r="I44" s="59"/>
      <c r="J44" s="59"/>
      <c r="K44" s="59"/>
      <c r="L44" s="55"/>
      <c r="M44" s="56"/>
      <c r="N44" s="7"/>
    </row>
    <row r="45" spans="1:14" ht="25.05" customHeight="1" x14ac:dyDescent="0.3">
      <c r="A45" s="7"/>
      <c r="B45" s="18" t="str">
        <f>IF(AND(ISBLANK(D45),ISBLANK(C45)),"",MAX(B$16:B44)+1)</f>
        <v/>
      </c>
      <c r="C45" s="50"/>
      <c r="D45" s="51"/>
      <c r="E45" s="51"/>
      <c r="F45" s="51"/>
      <c r="G45" s="51"/>
      <c r="H45" s="51"/>
      <c r="I45" s="59"/>
      <c r="J45" s="59"/>
      <c r="K45" s="59"/>
      <c r="L45" s="55"/>
      <c r="M45" s="56"/>
      <c r="N45" s="7"/>
    </row>
    <row r="46" spans="1:14" ht="25.05" customHeight="1" x14ac:dyDescent="0.3">
      <c r="A46" s="7"/>
      <c r="B46" s="18" t="str">
        <f>IF(AND(ISBLANK(D46),ISBLANK(C46)),"",MAX(B$16:B45)+1)</f>
        <v/>
      </c>
      <c r="C46" s="50"/>
      <c r="D46" s="51"/>
      <c r="E46" s="51"/>
      <c r="F46" s="51"/>
      <c r="G46" s="51"/>
      <c r="H46" s="51"/>
      <c r="I46" s="59"/>
      <c r="J46" s="59"/>
      <c r="K46" s="59"/>
      <c r="L46" s="55"/>
      <c r="M46" s="56"/>
      <c r="N46" s="7"/>
    </row>
    <row r="47" spans="1:14" ht="25.05" customHeight="1" thickBot="1" x14ac:dyDescent="0.35">
      <c r="A47" s="7"/>
      <c r="B47" s="19" t="str">
        <f>IF(AND(ISBLANK(D47),ISBLANK(C47)),"",MAX(B$16:B46)+1)</f>
        <v/>
      </c>
      <c r="C47" s="52"/>
      <c r="D47" s="53"/>
      <c r="E47" s="53"/>
      <c r="F47" s="53"/>
      <c r="G47" s="53"/>
      <c r="H47" s="53"/>
      <c r="I47" s="60"/>
      <c r="J47" s="60"/>
      <c r="K47" s="60"/>
      <c r="L47" s="57"/>
      <c r="M47" s="58"/>
      <c r="N47" s="7"/>
    </row>
    <row r="48" spans="1:14" ht="14.4" customHeight="1" x14ac:dyDescent="0.3">
      <c r="A48" s="7"/>
      <c r="B48" s="7"/>
      <c r="C48" s="7"/>
      <c r="D48" s="7"/>
      <c r="E48" s="7"/>
      <c r="F48" s="7"/>
      <c r="G48" s="7"/>
      <c r="H48" s="7"/>
      <c r="I48" s="7"/>
      <c r="J48" s="7"/>
      <c r="K48" s="7"/>
      <c r="L48" s="7"/>
      <c r="M48" s="7"/>
      <c r="N48" s="7"/>
    </row>
    <row r="49" spans="2:4" ht="25.05" customHeight="1" x14ac:dyDescent="0.3"/>
    <row r="50" spans="2:4" ht="25.05" customHeight="1" x14ac:dyDescent="0.3"/>
    <row r="51" spans="2:4" ht="25.05" customHeight="1" x14ac:dyDescent="0.3">
      <c r="B51" s="22"/>
      <c r="C51" s="21" t="s">
        <v>24</v>
      </c>
      <c r="D51" s="22"/>
    </row>
    <row r="52" spans="2:4" ht="25.05" customHeight="1" x14ac:dyDescent="0.3">
      <c r="B52" s="22"/>
      <c r="C52" s="20" t="s">
        <v>17</v>
      </c>
      <c r="D52" s="22"/>
    </row>
    <row r="53" spans="2:4" ht="25.05" customHeight="1" x14ac:dyDescent="0.3">
      <c r="B53" s="22"/>
      <c r="C53" s="20" t="s">
        <v>20</v>
      </c>
      <c r="D53" s="22"/>
    </row>
    <row r="54" spans="2:4" ht="25.05" customHeight="1" x14ac:dyDescent="0.3">
      <c r="B54" s="22"/>
      <c r="C54" s="20" t="s">
        <v>23</v>
      </c>
      <c r="D54" s="22"/>
    </row>
  </sheetData>
  <mergeCells count="36">
    <mergeCell ref="C38:H38"/>
    <mergeCell ref="I38:K38"/>
    <mergeCell ref="L38:M38"/>
    <mergeCell ref="C39:H39"/>
    <mergeCell ref="I39:K39"/>
    <mergeCell ref="L39:M39"/>
    <mergeCell ref="A2:N2"/>
    <mergeCell ref="C4:E4"/>
    <mergeCell ref="H4:J4"/>
    <mergeCell ref="C37:H37"/>
    <mergeCell ref="I37:K37"/>
    <mergeCell ref="L37:M37"/>
    <mergeCell ref="C47:H47"/>
    <mergeCell ref="I47:K47"/>
    <mergeCell ref="L47:M47"/>
    <mergeCell ref="C42:H42"/>
    <mergeCell ref="I42:K42"/>
    <mergeCell ref="L42:M42"/>
    <mergeCell ref="C43:H43"/>
    <mergeCell ref="I43:K43"/>
    <mergeCell ref="L43:M43"/>
    <mergeCell ref="C44:H44"/>
    <mergeCell ref="I44:K44"/>
    <mergeCell ref="L44:M44"/>
    <mergeCell ref="C45:H45"/>
    <mergeCell ref="I45:K45"/>
    <mergeCell ref="L45:M45"/>
    <mergeCell ref="C46:H46"/>
    <mergeCell ref="I46:K46"/>
    <mergeCell ref="L46:M46"/>
    <mergeCell ref="I40:K40"/>
    <mergeCell ref="L40:M40"/>
    <mergeCell ref="C41:H41"/>
    <mergeCell ref="I41:K41"/>
    <mergeCell ref="L41:M41"/>
    <mergeCell ref="C40:H40"/>
  </mergeCells>
  <dataValidations count="1">
    <dataValidation type="list" allowBlank="1" showInputMessage="1" showErrorMessage="1" sqref="L38:M47" xr:uid="{00000000-0002-0000-0100-000000000000}">
      <formula1>$C$52:$C$54</formula1>
    </dataValidation>
  </dataValidations>
  <pageMargins left="0.7" right="0.7" top="0.75" bottom="0.75" header="0.3" footer="0.3"/>
  <pageSetup paperSize="9" scale="70"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AF0CD79-D9A7-4BB0-A16A-E5444541B809}">
            <xm:f>NOT(ISERROR(SEARCH($C$54,L38)))</xm:f>
            <xm:f>$C$54</xm:f>
            <x14:dxf>
              <fill>
                <patternFill>
                  <bgColor rgb="FFDAF0E6"/>
                </patternFill>
              </fill>
            </x14:dxf>
          </x14:cfRule>
          <x14:cfRule type="containsText" priority="2" operator="containsText" id="{5D1513AD-C184-48C9-9732-1D57BF204367}">
            <xm:f>NOT(ISERROR(SEARCH($C$53,L38)))</xm:f>
            <xm:f>$C$53</xm:f>
            <x14:dxf>
              <fill>
                <patternFill>
                  <bgColor theme="7" tint="0.79998168889431442"/>
                </patternFill>
              </fill>
            </x14:dxf>
          </x14:cfRule>
          <x14:cfRule type="containsText" priority="3" operator="containsText" id="{DB38C4FB-EDEF-4689-8BA0-275D422EE7BB}">
            <xm:f>NOT(ISERROR(SEARCH($C$52,L38)))</xm:f>
            <xm:f>$C$52</xm:f>
            <x14:dxf>
              <fill>
                <patternFill>
                  <bgColor theme="5" tint="0.79998168889431442"/>
                </patternFill>
              </fill>
            </x14:dxf>
          </x14:cfRule>
          <xm:sqref>L38:L47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AA05-4A69-44A1-AAB3-E37C6102E110}">
  <dimension ref="A1:M44"/>
  <sheetViews>
    <sheetView showGridLines="0" zoomScaleNormal="100" workbookViewId="0">
      <selection activeCell="A5" sqref="A5"/>
    </sheetView>
  </sheetViews>
  <sheetFormatPr defaultRowHeight="14.4" x14ac:dyDescent="0.3"/>
  <cols>
    <col min="1" max="1" width="3" customWidth="1"/>
    <col min="2" max="2" width="10.33203125" customWidth="1"/>
    <col min="3" max="3" width="21.77734375" customWidth="1"/>
    <col min="5" max="5" width="21.77734375" customWidth="1"/>
    <col min="7" max="7" width="21.77734375" customWidth="1"/>
    <col min="9" max="9" width="21.77734375" customWidth="1"/>
    <col min="10" max="10" width="2.88671875" customWidth="1"/>
    <col min="11" max="11" width="30.6640625" bestFit="1" customWidth="1"/>
    <col min="12" max="12" width="2.77734375" customWidth="1"/>
  </cols>
  <sheetData>
    <row r="1" spans="1:13" ht="24" customHeight="1" x14ac:dyDescent="0.3">
      <c r="A1" s="64" t="s">
        <v>25</v>
      </c>
      <c r="B1" s="64"/>
      <c r="C1" s="64"/>
      <c r="D1" s="64"/>
      <c r="E1" s="64"/>
      <c r="F1" s="64"/>
      <c r="G1" s="64"/>
      <c r="H1" s="64"/>
      <c r="I1" s="64"/>
      <c r="J1" s="64"/>
      <c r="K1" s="64"/>
      <c r="L1" s="23"/>
      <c r="M1" s="23"/>
    </row>
    <row r="2" spans="1:13" ht="18" customHeight="1" x14ac:dyDescent="0.3">
      <c r="A2" s="84" t="s">
        <v>26</v>
      </c>
      <c r="B2" s="84"/>
      <c r="C2" s="84"/>
      <c r="D2" s="84"/>
      <c r="E2" s="84"/>
      <c r="F2" s="84"/>
      <c r="G2" s="84"/>
      <c r="H2" s="84"/>
      <c r="I2" s="84"/>
      <c r="J2" s="84"/>
      <c r="K2" s="84"/>
      <c r="L2" s="23"/>
      <c r="M2" s="23"/>
    </row>
    <row r="3" spans="1:13" ht="19.2" customHeight="1" x14ac:dyDescent="0.3">
      <c r="A3" s="2"/>
      <c r="B3" s="4"/>
      <c r="C3" s="24"/>
      <c r="D3" s="25" t="s">
        <v>1</v>
      </c>
      <c r="E3" s="85"/>
      <c r="F3" s="86"/>
      <c r="G3" s="25" t="s">
        <v>2</v>
      </c>
      <c r="H3" s="85"/>
      <c r="I3" s="86"/>
      <c r="J3" s="2"/>
      <c r="K3" s="5"/>
      <c r="L3" s="26"/>
      <c r="M3" s="26"/>
    </row>
    <row r="4" spans="1:13" ht="10.8" customHeight="1" x14ac:dyDescent="0.3">
      <c r="A4" s="1"/>
      <c r="B4" s="1"/>
      <c r="C4" s="1"/>
      <c r="D4" s="1"/>
      <c r="E4" s="1"/>
      <c r="F4" s="1"/>
      <c r="G4" s="1"/>
      <c r="H4" s="1"/>
      <c r="I4" s="1"/>
      <c r="J4" s="1"/>
      <c r="K4" s="1"/>
    </row>
    <row r="5" spans="1:13" ht="10.8" customHeight="1" thickBot="1" x14ac:dyDescent="0.35"/>
    <row r="6" spans="1:13" ht="21.6" thickBot="1" x14ac:dyDescent="0.35">
      <c r="C6" s="27" t="s">
        <v>27</v>
      </c>
      <c r="D6" s="28"/>
      <c r="E6" s="29" t="s">
        <v>28</v>
      </c>
      <c r="F6" s="28"/>
      <c r="G6" s="30" t="s">
        <v>29</v>
      </c>
      <c r="H6" s="28"/>
      <c r="I6" s="31" t="s">
        <v>30</v>
      </c>
      <c r="J6" s="28"/>
    </row>
    <row r="7" spans="1:13" ht="22.2" customHeight="1" x14ac:dyDescent="0.3">
      <c r="B7" s="32">
        <f>IF(C7="","",1)</f>
        <v>1</v>
      </c>
      <c r="C7" s="33" t="s">
        <v>31</v>
      </c>
      <c r="D7" s="34">
        <f>IF(E7="","",1)</f>
        <v>1</v>
      </c>
      <c r="E7" s="33" t="s">
        <v>31</v>
      </c>
      <c r="F7" s="34">
        <f>IF(G7="","",1)</f>
        <v>1</v>
      </c>
      <c r="G7" s="33" t="s">
        <v>31</v>
      </c>
      <c r="H7" s="34">
        <f>IF(I7="","",1)</f>
        <v>1</v>
      </c>
      <c r="I7" s="33" t="s">
        <v>31</v>
      </c>
      <c r="J7" s="28"/>
    </row>
    <row r="8" spans="1:13" ht="22.2" customHeight="1" x14ac:dyDescent="0.3">
      <c r="B8" s="32" t="str">
        <f>IF(C8="","",MAX(B7)+1)</f>
        <v/>
      </c>
      <c r="C8" s="35"/>
      <c r="D8" s="34">
        <f>IF(E8="","",MAX(D7)+1)</f>
        <v>2</v>
      </c>
      <c r="E8" s="35" t="s">
        <v>32</v>
      </c>
      <c r="F8" s="34">
        <f>IF(G8="","",MAX(F7)+1)</f>
        <v>2</v>
      </c>
      <c r="G8" s="35" t="s">
        <v>32</v>
      </c>
      <c r="H8" s="34">
        <f>IF(I8="","",MAX(H7)+1)</f>
        <v>2</v>
      </c>
      <c r="I8" s="35" t="s">
        <v>32</v>
      </c>
      <c r="J8" s="28"/>
    </row>
    <row r="9" spans="1:13" ht="22.2" customHeight="1" x14ac:dyDescent="0.3">
      <c r="B9" s="32" t="str">
        <f>IF(C9="","",MAX(B7:B8)+1)</f>
        <v/>
      </c>
      <c r="C9" s="35"/>
      <c r="D9" s="34">
        <f>IF(E9="","",MAX(D7:D8)+1)</f>
        <v>3</v>
      </c>
      <c r="E9" s="35" t="s">
        <v>33</v>
      </c>
      <c r="F9" s="34">
        <f>IF(G9="","",MAX(F7:F8)+1)</f>
        <v>3</v>
      </c>
      <c r="G9" s="35" t="s">
        <v>33</v>
      </c>
      <c r="H9" s="34">
        <f>IF(I9="","",MAX(H7:H8)+1)</f>
        <v>3</v>
      </c>
      <c r="I9" s="35" t="s">
        <v>33</v>
      </c>
      <c r="J9" s="28"/>
    </row>
    <row r="10" spans="1:13" ht="22.2" customHeight="1" x14ac:dyDescent="0.3">
      <c r="B10" s="32" t="str">
        <f>IF(C10="","",MAX(B$7:B9)+1)</f>
        <v/>
      </c>
      <c r="C10" s="35"/>
      <c r="D10" s="34">
        <f>IF(E10="","",MAX(D$7:D9)+1)</f>
        <v>4</v>
      </c>
      <c r="E10" s="35" t="s">
        <v>34</v>
      </c>
      <c r="F10" s="34">
        <f>IF(G10="","",MAX(F$7:F9)+1)</f>
        <v>4</v>
      </c>
      <c r="G10" s="35" t="s">
        <v>34</v>
      </c>
      <c r="H10" s="34">
        <f>IF(I10="","",MAX(H$7:H9)+1)</f>
        <v>4</v>
      </c>
      <c r="I10" s="35" t="s">
        <v>34</v>
      </c>
      <c r="J10" s="28"/>
    </row>
    <row r="11" spans="1:13" ht="22.2" customHeight="1" x14ac:dyDescent="0.3">
      <c r="B11" s="32" t="str">
        <f>IF(C11="","",MAX(B$7:B10)+1)</f>
        <v/>
      </c>
      <c r="C11" s="35"/>
      <c r="D11" s="34">
        <f>IF(E11="","",MAX(D$7:D10)+1)</f>
        <v>5</v>
      </c>
      <c r="E11" s="35" t="s">
        <v>35</v>
      </c>
      <c r="F11" s="34" t="str">
        <f>IF(G11="","",MAX(F$7:F10)+1)</f>
        <v/>
      </c>
      <c r="G11" s="35"/>
      <c r="H11" s="34">
        <f>IF(I11="","",MAX(H$7:H10)+1)</f>
        <v>5</v>
      </c>
      <c r="I11" s="35" t="s">
        <v>35</v>
      </c>
      <c r="J11" s="28"/>
    </row>
    <row r="12" spans="1:13" ht="22.2" customHeight="1" x14ac:dyDescent="0.3">
      <c r="B12" s="32" t="str">
        <f>IF(C12="","",MAX(B$7:B11)+1)</f>
        <v/>
      </c>
      <c r="C12" s="35"/>
      <c r="D12" s="34">
        <f>IF(E12="","",MAX(D$7:D11)+1)</f>
        <v>6</v>
      </c>
      <c r="E12" s="35" t="s">
        <v>36</v>
      </c>
      <c r="F12" s="34" t="str">
        <f>IF(G12="","",MAX(F$7:F11)+1)</f>
        <v/>
      </c>
      <c r="G12" s="35"/>
      <c r="H12" s="34" t="str">
        <f>IF(I12="","",MAX(H$7:H11)+1)</f>
        <v/>
      </c>
      <c r="I12" s="35"/>
      <c r="J12" s="28"/>
    </row>
    <row r="13" spans="1:13" ht="22.2" customHeight="1" x14ac:dyDescent="0.3">
      <c r="B13" s="32" t="str">
        <f>IF(C13="","",MAX(B$7:B12)+1)</f>
        <v/>
      </c>
      <c r="C13" s="35"/>
      <c r="D13" s="34">
        <f>IF(E13="","",MAX(D$7:D12)+1)</f>
        <v>7</v>
      </c>
      <c r="E13" s="35" t="s">
        <v>37</v>
      </c>
      <c r="F13" s="34" t="str">
        <f>IF(G13="","",MAX(F$7:F12)+1)</f>
        <v/>
      </c>
      <c r="G13" s="35"/>
      <c r="H13" s="34" t="str">
        <f>IF(I13="","",MAX(H$7:H12)+1)</f>
        <v/>
      </c>
      <c r="I13" s="35"/>
      <c r="J13" s="28"/>
    </row>
    <row r="14" spans="1:13" ht="22.2" customHeight="1" x14ac:dyDescent="0.3">
      <c r="B14" s="32"/>
      <c r="C14" s="35"/>
      <c r="D14" s="34">
        <f>IF(E14="","",MAX(D$7:D13)+1)</f>
        <v>8</v>
      </c>
      <c r="E14" s="35" t="s">
        <v>38</v>
      </c>
      <c r="F14" s="34"/>
      <c r="G14" s="35"/>
      <c r="H14" s="34"/>
      <c r="I14" s="35"/>
      <c r="J14" s="28"/>
    </row>
    <row r="15" spans="1:13" ht="22.2" customHeight="1" thickBot="1" x14ac:dyDescent="0.35">
      <c r="B15" s="32" t="str">
        <f>IF(C15="","",MAX(B$7:B13)+1)</f>
        <v/>
      </c>
      <c r="C15" s="35"/>
      <c r="D15" s="34" t="str">
        <f>IF(E15="","",MAX(D$7:D14)+1)</f>
        <v/>
      </c>
      <c r="E15" s="35"/>
      <c r="F15" s="34" t="str">
        <f>IF(G15="","",MAX(F$7:F13)+1)</f>
        <v/>
      </c>
      <c r="G15" s="35"/>
      <c r="H15" s="34" t="str">
        <f>IF(I15="","",MAX(H$7:H13)+1)</f>
        <v/>
      </c>
      <c r="I15" s="35"/>
      <c r="J15" s="28"/>
    </row>
    <row r="16" spans="1:13" ht="22.2" customHeight="1" x14ac:dyDescent="0.3">
      <c r="B16" s="32" t="str">
        <f>IF(C16="","",MAX(B$7:B15)+1)</f>
        <v/>
      </c>
      <c r="C16" s="35"/>
      <c r="D16" s="34" t="str">
        <f>IF(E16="","",MAX(D$7:D15)+1)</f>
        <v/>
      </c>
      <c r="E16" s="35"/>
      <c r="F16" s="34" t="str">
        <f>IF(G16="","",MAX(F$7:F15)+1)</f>
        <v/>
      </c>
      <c r="G16" s="35"/>
      <c r="H16" s="34" t="str">
        <f>IF(I16="","",MAX(H$7:H15)+1)</f>
        <v/>
      </c>
      <c r="I16" s="35"/>
      <c r="J16" s="28"/>
      <c r="K16" s="87" t="s">
        <v>39</v>
      </c>
    </row>
    <row r="17" spans="1:12" ht="22.2" customHeight="1" x14ac:dyDescent="0.3">
      <c r="B17" s="32" t="str">
        <f>IF(C17="","",MAX(B$7:B16)+1)</f>
        <v/>
      </c>
      <c r="C17" s="35"/>
      <c r="D17" s="34" t="str">
        <f>IF(E17="","",MAX(D$7:D16)+1)</f>
        <v/>
      </c>
      <c r="E17" s="35"/>
      <c r="F17" s="34" t="str">
        <f>IF(G17="","",MAX(F$7:F16)+1)</f>
        <v/>
      </c>
      <c r="G17" s="35"/>
      <c r="H17" s="34" t="str">
        <f>IF(I17="","",MAX(H$7:H16)+1)</f>
        <v/>
      </c>
      <c r="I17" s="35"/>
      <c r="J17" s="28"/>
      <c r="K17" s="88"/>
    </row>
    <row r="18" spans="1:12" ht="22.2" customHeight="1" thickBot="1" x14ac:dyDescent="0.35">
      <c r="B18" s="32" t="str">
        <f>IF(C18="","",MAX(B$7:B17)+1)</f>
        <v/>
      </c>
      <c r="C18" s="35"/>
      <c r="D18" s="34" t="str">
        <f>IF(E18="","",MAX(D$7:D17)+1)</f>
        <v/>
      </c>
      <c r="E18" s="35"/>
      <c r="F18" s="34" t="str">
        <f>IF(G18="","",MAX(F$7:F17)+1)</f>
        <v/>
      </c>
      <c r="G18" s="35"/>
      <c r="H18" s="34" t="str">
        <f>IF(I18="","",MAX(H$7:H17)+1)</f>
        <v/>
      </c>
      <c r="I18" s="35"/>
      <c r="J18" s="28"/>
      <c r="K18" s="89"/>
    </row>
    <row r="19" spans="1:12" ht="21.6" thickBot="1" x14ac:dyDescent="0.45">
      <c r="B19" s="32"/>
      <c r="C19" s="36"/>
      <c r="D19" s="37"/>
      <c r="E19" s="38"/>
      <c r="F19" s="37"/>
      <c r="G19" s="38"/>
      <c r="H19" s="37"/>
      <c r="I19" s="38"/>
      <c r="J19" s="39"/>
      <c r="K19" s="40" t="s">
        <v>40</v>
      </c>
    </row>
    <row r="20" spans="1:12" ht="30" customHeight="1" thickBot="1" x14ac:dyDescent="0.35">
      <c r="B20" s="41"/>
      <c r="C20" s="42">
        <f>COUNTA(C7:C19)</f>
        <v>1</v>
      </c>
      <c r="D20" s="43"/>
      <c r="E20" s="42">
        <f>COUNTA(E7:E19)</f>
        <v>8</v>
      </c>
      <c r="F20" s="43"/>
      <c r="G20" s="42">
        <f>COUNTA(G7:G19)</f>
        <v>4</v>
      </c>
      <c r="H20" s="43"/>
      <c r="I20" s="42">
        <f>COUNTA(I7:I19)</f>
        <v>5</v>
      </c>
      <c r="K20" s="44" t="s">
        <v>41</v>
      </c>
    </row>
    <row r="21" spans="1:12" ht="61.2" customHeight="1" thickBot="1" x14ac:dyDescent="0.35">
      <c r="B21" s="45" t="s">
        <v>42</v>
      </c>
      <c r="K21" s="46" t="s">
        <v>43</v>
      </c>
    </row>
    <row r="22" spans="1:12" ht="24" customHeight="1" x14ac:dyDescent="0.3">
      <c r="B22" s="45"/>
      <c r="K22" s="33"/>
    </row>
    <row r="23" spans="1:12" ht="21.6" customHeight="1" x14ac:dyDescent="0.3">
      <c r="B23" s="45"/>
      <c r="K23" s="33"/>
    </row>
    <row r="24" spans="1:12" ht="52.8" customHeight="1" x14ac:dyDescent="0.3"/>
    <row r="25" spans="1:12" ht="15" thickBot="1" x14ac:dyDescent="0.35">
      <c r="A25" s="7"/>
      <c r="B25" s="7"/>
      <c r="C25" s="7"/>
      <c r="D25" s="7"/>
      <c r="E25" s="7"/>
      <c r="F25" s="7"/>
      <c r="G25" s="7"/>
      <c r="H25" s="7"/>
      <c r="I25" s="7"/>
      <c r="J25" s="7"/>
      <c r="K25" s="7"/>
      <c r="L25" s="7"/>
    </row>
    <row r="26" spans="1:12" ht="26.4" thickBot="1" x14ac:dyDescent="0.35">
      <c r="A26" s="8"/>
      <c r="B26" s="47" t="s">
        <v>5</v>
      </c>
      <c r="C26" s="76" t="s">
        <v>44</v>
      </c>
      <c r="D26" s="77"/>
      <c r="E26" s="77"/>
      <c r="F26" s="78"/>
      <c r="G26" s="79" t="s">
        <v>4</v>
      </c>
      <c r="H26" s="80"/>
      <c r="I26" s="81"/>
      <c r="J26" s="82" t="s">
        <v>14</v>
      </c>
      <c r="K26" s="83"/>
      <c r="L26" s="8"/>
    </row>
    <row r="27" spans="1:12" s="6" customFormat="1" ht="25.05" customHeight="1" x14ac:dyDescent="0.3">
      <c r="A27" s="9"/>
      <c r="B27" s="17">
        <f>IF(AND(ISBLANK(C27),ISBLANK(#REF!)),"",1)</f>
        <v>1</v>
      </c>
      <c r="C27" s="90"/>
      <c r="D27" s="91"/>
      <c r="E27" s="91"/>
      <c r="F27" s="92"/>
      <c r="G27" s="54" t="s">
        <v>15</v>
      </c>
      <c r="H27" s="54"/>
      <c r="I27" s="54"/>
      <c r="J27" s="70" t="s">
        <v>17</v>
      </c>
      <c r="K27" s="71"/>
      <c r="L27" s="9"/>
    </row>
    <row r="28" spans="1:12" s="6" customFormat="1" ht="25.05" customHeight="1" x14ac:dyDescent="0.3">
      <c r="A28" s="9"/>
      <c r="B28" s="18">
        <f>IF(AND(ISBLANK(C28),ISBLANK(#REF!)),"",MAX(B$13:B27)+1)</f>
        <v>2</v>
      </c>
      <c r="C28" s="93"/>
      <c r="D28" s="94"/>
      <c r="E28" s="94"/>
      <c r="F28" s="95"/>
      <c r="G28" s="59" t="s">
        <v>18</v>
      </c>
      <c r="H28" s="59"/>
      <c r="I28" s="59"/>
      <c r="J28" s="96" t="s">
        <v>45</v>
      </c>
      <c r="K28" s="97"/>
      <c r="L28" s="9"/>
    </row>
    <row r="29" spans="1:12" s="6" customFormat="1" ht="25.05" customHeight="1" x14ac:dyDescent="0.3">
      <c r="A29" s="9"/>
      <c r="B29" s="18">
        <f>IF(AND(ISBLANK(C29),ISBLANK(#REF!)),"",MAX(B$13:B28)+1)</f>
        <v>3</v>
      </c>
      <c r="C29" s="93"/>
      <c r="D29" s="94"/>
      <c r="E29" s="94"/>
      <c r="F29" s="95"/>
      <c r="G29" s="59" t="s">
        <v>21</v>
      </c>
      <c r="H29" s="59"/>
      <c r="I29" s="59"/>
      <c r="J29" s="96" t="s">
        <v>20</v>
      </c>
      <c r="K29" s="97"/>
      <c r="L29" s="9"/>
    </row>
    <row r="30" spans="1:12" s="6" customFormat="1" ht="25.05" customHeight="1" x14ac:dyDescent="0.3">
      <c r="A30" s="9"/>
      <c r="B30" s="18">
        <f>IF(AND(ISBLANK(C30),ISBLANK(#REF!)),"",MAX(B$13:B29)+1)</f>
        <v>4</v>
      </c>
      <c r="C30" s="93"/>
      <c r="D30" s="94"/>
      <c r="E30" s="94"/>
      <c r="F30" s="95"/>
      <c r="G30" s="59"/>
      <c r="H30" s="59"/>
      <c r="I30" s="59"/>
      <c r="J30" s="96" t="s">
        <v>23</v>
      </c>
      <c r="K30" s="97"/>
      <c r="L30" s="9"/>
    </row>
    <row r="31" spans="1:12" s="6" customFormat="1" ht="25.05" customHeight="1" x14ac:dyDescent="0.3">
      <c r="A31" s="9"/>
      <c r="B31" s="18">
        <f>IF(AND(ISBLANK(C31),ISBLANK(#REF!)),"",MAX(B$13:B30)+1)</f>
        <v>5</v>
      </c>
      <c r="C31" s="93"/>
      <c r="D31" s="94"/>
      <c r="E31" s="94"/>
      <c r="F31" s="95"/>
      <c r="G31" s="59"/>
      <c r="H31" s="59"/>
      <c r="I31" s="59"/>
      <c r="J31" s="96"/>
      <c r="K31" s="97"/>
      <c r="L31" s="9"/>
    </row>
    <row r="32" spans="1:12" s="6" customFormat="1" ht="25.05" customHeight="1" x14ac:dyDescent="0.3">
      <c r="A32" s="9"/>
      <c r="B32" s="18">
        <f>IF(AND(ISBLANK(C32),ISBLANK(#REF!)),"",MAX(B$13:B31)+1)</f>
        <v>6</v>
      </c>
      <c r="C32" s="93"/>
      <c r="D32" s="94"/>
      <c r="E32" s="94"/>
      <c r="F32" s="95"/>
      <c r="G32" s="59"/>
      <c r="H32" s="59"/>
      <c r="I32" s="59"/>
      <c r="J32" s="96"/>
      <c r="K32" s="97"/>
      <c r="L32" s="9"/>
    </row>
    <row r="33" spans="1:12" ht="25.05" customHeight="1" x14ac:dyDescent="0.3">
      <c r="A33" s="7"/>
      <c r="B33" s="18">
        <f>IF(AND(ISBLANK(C33),ISBLANK(#REF!)),"",MAX(B$13:B32)+1)</f>
        <v>7</v>
      </c>
      <c r="C33" s="93"/>
      <c r="D33" s="94"/>
      <c r="E33" s="94"/>
      <c r="F33" s="95"/>
      <c r="G33" s="59"/>
      <c r="H33" s="59"/>
      <c r="I33" s="59"/>
      <c r="J33" s="96"/>
      <c r="K33" s="97"/>
      <c r="L33" s="7"/>
    </row>
    <row r="34" spans="1:12" ht="25.05" customHeight="1" x14ac:dyDescent="0.3">
      <c r="A34" s="7"/>
      <c r="B34" s="18">
        <f>IF(AND(ISBLANK(C34),ISBLANK(#REF!)),"",MAX(B$13:B33)+1)</f>
        <v>8</v>
      </c>
      <c r="C34" s="93"/>
      <c r="D34" s="94"/>
      <c r="E34" s="94"/>
      <c r="F34" s="95"/>
      <c r="G34" s="59"/>
      <c r="H34" s="59"/>
      <c r="I34" s="59"/>
      <c r="J34" s="96"/>
      <c r="K34" s="97"/>
      <c r="L34" s="7"/>
    </row>
    <row r="35" spans="1:12" ht="25.05" customHeight="1" x14ac:dyDescent="0.3">
      <c r="A35" s="7"/>
      <c r="B35" s="18">
        <f>IF(AND(ISBLANK(C35),ISBLANK(#REF!)),"",MAX(B$13:B34)+1)</f>
        <v>9</v>
      </c>
      <c r="C35" s="93"/>
      <c r="D35" s="94"/>
      <c r="E35" s="94"/>
      <c r="F35" s="95"/>
      <c r="G35" s="59"/>
      <c r="H35" s="59"/>
      <c r="I35" s="59"/>
      <c r="J35" s="96"/>
      <c r="K35" s="97"/>
      <c r="L35" s="7"/>
    </row>
    <row r="36" spans="1:12" ht="25.05" customHeight="1" thickBot="1" x14ac:dyDescent="0.35">
      <c r="A36" s="7"/>
      <c r="B36" s="19">
        <f>IF(AND(ISBLANK(C36),ISBLANK(#REF!)),"",MAX(B$13:B35)+1)</f>
        <v>10</v>
      </c>
      <c r="C36" s="98"/>
      <c r="D36" s="99"/>
      <c r="E36" s="99"/>
      <c r="F36" s="100"/>
      <c r="G36" s="60"/>
      <c r="H36" s="60"/>
      <c r="I36" s="60"/>
      <c r="J36" s="101"/>
      <c r="K36" s="102"/>
      <c r="L36" s="7"/>
    </row>
    <row r="37" spans="1:12" ht="14.4" customHeight="1" x14ac:dyDescent="0.3">
      <c r="A37" s="7"/>
      <c r="B37" s="7"/>
      <c r="C37" s="7"/>
      <c r="D37" s="7"/>
      <c r="E37" s="7"/>
      <c r="F37" s="7"/>
      <c r="G37" s="7"/>
      <c r="H37" s="7"/>
      <c r="I37" s="7"/>
      <c r="J37" s="7"/>
      <c r="K37" s="7"/>
      <c r="L37" s="7"/>
    </row>
    <row r="38" spans="1:12" ht="14.4" customHeight="1" x14ac:dyDescent="0.3"/>
    <row r="39" spans="1:12" x14ac:dyDescent="0.3">
      <c r="C39" s="48" t="s">
        <v>46</v>
      </c>
    </row>
    <row r="40" spans="1:12" x14ac:dyDescent="0.3">
      <c r="C40" s="49" t="s">
        <v>17</v>
      </c>
    </row>
    <row r="41" spans="1:12" x14ac:dyDescent="0.3">
      <c r="C41" s="49" t="s">
        <v>20</v>
      </c>
    </row>
    <row r="42" spans="1:12" x14ac:dyDescent="0.3">
      <c r="C42" s="49" t="s">
        <v>45</v>
      </c>
    </row>
    <row r="43" spans="1:12" x14ac:dyDescent="0.3">
      <c r="C43" s="49" t="s">
        <v>23</v>
      </c>
    </row>
    <row r="44" spans="1:12" ht="25.05" customHeight="1" x14ac:dyDescent="0.3"/>
  </sheetData>
  <mergeCells count="38">
    <mergeCell ref="C35:F35"/>
    <mergeCell ref="G35:I35"/>
    <mergeCell ref="J35:K35"/>
    <mergeCell ref="C36:F36"/>
    <mergeCell ref="G36:I36"/>
    <mergeCell ref="J36:K36"/>
    <mergeCell ref="C33:F33"/>
    <mergeCell ref="G33:I33"/>
    <mergeCell ref="J33:K33"/>
    <mergeCell ref="C34:F34"/>
    <mergeCell ref="G34:I34"/>
    <mergeCell ref="J34:K34"/>
    <mergeCell ref="C31:F31"/>
    <mergeCell ref="G31:I31"/>
    <mergeCell ref="J31:K31"/>
    <mergeCell ref="C32:F32"/>
    <mergeCell ref="G32:I32"/>
    <mergeCell ref="J32:K32"/>
    <mergeCell ref="C29:F29"/>
    <mergeCell ref="G29:I29"/>
    <mergeCell ref="J29:K29"/>
    <mergeCell ref="C30:F30"/>
    <mergeCell ref="G30:I30"/>
    <mergeCell ref="J30:K30"/>
    <mergeCell ref="C27:F27"/>
    <mergeCell ref="G27:I27"/>
    <mergeCell ref="J27:K27"/>
    <mergeCell ref="C28:F28"/>
    <mergeCell ref="G28:I28"/>
    <mergeCell ref="J28:K28"/>
    <mergeCell ref="C26:F26"/>
    <mergeCell ref="G26:I26"/>
    <mergeCell ref="J26:K26"/>
    <mergeCell ref="A1:K1"/>
    <mergeCell ref="A2:K2"/>
    <mergeCell ref="E3:F3"/>
    <mergeCell ref="H3:I3"/>
    <mergeCell ref="K16:K18"/>
  </mergeCells>
  <conditionalFormatting sqref="J27:K36">
    <cfRule type="cellIs" dxfId="3" priority="1" operator="equal">
      <formula>$C$40</formula>
    </cfRule>
    <cfRule type="cellIs" dxfId="2" priority="2" operator="equal">
      <formula>$C$42</formula>
    </cfRule>
  </conditionalFormatting>
  <dataValidations count="1">
    <dataValidation type="list" allowBlank="1" showInputMessage="1" showErrorMessage="1" sqref="J27:K36" xr:uid="{E2D8998F-4B39-485F-9A7F-1C9AFC05F012}">
      <formula1>$C$40:$C$43</formula1>
    </dataValidation>
  </dataValidations>
  <pageMargins left="0.7" right="0.7" top="0.75" bottom="0.75" header="0.3" footer="0.3"/>
  <pageSetup paperSize="9" scale="70" orientation="portrait" horizontalDpi="4294967293" verticalDpi="0" r:id="rId1"/>
  <drawing r:id="rId2"/>
  <extLst>
    <ext xmlns:x14="http://schemas.microsoft.com/office/spreadsheetml/2009/9/main" uri="{78C0D931-6437-407d-A8EE-F0AAD7539E65}">
      <x14:conditionalFormattings>
        <x14:conditionalFormatting xmlns:xm="http://schemas.microsoft.com/office/excel/2006/main">
          <x14:cfRule type="containsText" priority="3" operator="containsText" id="{82318C57-DDDE-4452-8B80-A28B0539C55B}">
            <xm:f>NOT(ISERROR(SEARCH($C$43,J27)))</xm:f>
            <xm:f>$C$43</xm:f>
            <x14:dxf>
              <fill>
                <patternFill>
                  <bgColor rgb="FFDAF0E6"/>
                </patternFill>
              </fill>
            </x14:dxf>
          </x14:cfRule>
          <x14:cfRule type="containsText" priority="4" operator="containsText" id="{E5247EFD-D692-4309-A3BB-CF4B236EBC37}">
            <xm:f>NOT(ISERROR(SEARCH($C$41,J27)))</xm:f>
            <xm:f>$C$41</xm:f>
            <x14:dxf>
              <fill>
                <patternFill>
                  <bgColor theme="7" tint="0.79998168889431442"/>
                </patternFill>
              </fill>
            </x14:dxf>
          </x14:cfRule>
          <xm:sqref>J27:K36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election activeCell="A19" sqref="A19"/>
    </sheetView>
  </sheetViews>
  <sheetFormatPr defaultRowHeight="14.4" x14ac:dyDescent="0.3"/>
  <cols>
    <col min="1" max="1" width="3.33203125" customWidth="1"/>
    <col min="2" max="2" width="68" customWidth="1"/>
    <col min="3" max="3" width="13.5546875" customWidth="1"/>
  </cols>
  <sheetData>
    <row r="1" spans="1:3" ht="35.4" customHeight="1" x14ac:dyDescent="0.3">
      <c r="A1" s="10"/>
      <c r="B1" s="11" t="s">
        <v>11</v>
      </c>
      <c r="C1" s="10"/>
    </row>
    <row r="2" spans="1:3" ht="15" x14ac:dyDescent="0.3">
      <c r="A2" s="12"/>
      <c r="B2" s="12"/>
      <c r="C2" s="13"/>
    </row>
    <row r="3" spans="1:3" ht="19.2" customHeight="1" x14ac:dyDescent="0.3">
      <c r="A3" s="12"/>
      <c r="B3" s="12" t="s">
        <v>47</v>
      </c>
      <c r="C3" s="13"/>
    </row>
    <row r="4" spans="1:3" ht="15" x14ac:dyDescent="0.3">
      <c r="A4" s="12"/>
      <c r="B4" s="12"/>
      <c r="C4" s="13"/>
    </row>
    <row r="5" spans="1:3" ht="45" x14ac:dyDescent="0.3">
      <c r="A5" s="12"/>
      <c r="B5" s="14" t="s">
        <v>6</v>
      </c>
      <c r="C5" s="13"/>
    </row>
    <row r="6" spans="1:3" ht="15" x14ac:dyDescent="0.3">
      <c r="A6" s="12"/>
      <c r="B6" s="12"/>
      <c r="C6" s="13"/>
    </row>
    <row r="7" spans="1:3" ht="30" x14ac:dyDescent="0.3">
      <c r="A7" s="12"/>
      <c r="B7" s="14" t="s">
        <v>7</v>
      </c>
      <c r="C7" s="13"/>
    </row>
    <row r="8" spans="1:3" ht="15" x14ac:dyDescent="0.3">
      <c r="A8" s="12"/>
      <c r="B8" s="12"/>
      <c r="C8" s="13"/>
    </row>
    <row r="9" spans="1:3" ht="45.6" x14ac:dyDescent="0.3">
      <c r="A9" s="12"/>
      <c r="B9" s="14" t="s">
        <v>8</v>
      </c>
      <c r="C9" s="13"/>
    </row>
    <row r="10" spans="1:3" ht="15" x14ac:dyDescent="0.3">
      <c r="A10" s="12"/>
      <c r="B10" s="12"/>
      <c r="C10" s="13"/>
    </row>
    <row r="11" spans="1:3" ht="15" x14ac:dyDescent="0.3">
      <c r="A11" s="12"/>
      <c r="B11" s="12" t="s">
        <v>12</v>
      </c>
      <c r="C11" s="13"/>
    </row>
    <row r="12" spans="1:3" ht="15" x14ac:dyDescent="0.3">
      <c r="A12" s="12"/>
      <c r="B12" s="12"/>
      <c r="C12" s="13"/>
    </row>
    <row r="13" spans="1:3" ht="24" customHeight="1" thickBot="1" x14ac:dyDescent="0.35">
      <c r="A13" s="12"/>
      <c r="B13" s="15" t="s">
        <v>9</v>
      </c>
      <c r="C13" s="13"/>
    </row>
    <row r="14" spans="1:3" ht="15" x14ac:dyDescent="0.3">
      <c r="A14" s="12"/>
      <c r="B14" s="12"/>
      <c r="C14" s="13"/>
    </row>
    <row r="15" spans="1:3" ht="90" x14ac:dyDescent="0.3">
      <c r="A15" s="12"/>
      <c r="B15" s="14" t="s">
        <v>10</v>
      </c>
      <c r="C15" s="13"/>
    </row>
    <row r="16" spans="1:3" ht="15" x14ac:dyDescent="0.3">
      <c r="A16" s="12"/>
      <c r="B16" s="12"/>
      <c r="C16" s="13"/>
    </row>
    <row r="17" spans="1:3" ht="15" x14ac:dyDescent="0.3">
      <c r="A17" s="12"/>
      <c r="B17" s="12"/>
      <c r="C17" s="1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Ishikawa Diagram (Root Cause)</vt:lpstr>
      <vt:lpstr>Ishikawa Diagram Manufacturing</vt:lpstr>
      <vt:lpstr>(Cell Based) Ishikawa Diagram</vt:lpstr>
      <vt:lpstr>©</vt:lpstr>
      <vt:lpstr>'(Cell Based) Ishikawa Diagram'!Print_Area</vt:lpstr>
      <vt:lpstr>'Ishikawa Diagram (Root Cause)'!Print_Area</vt:lpstr>
      <vt:lpstr>'Ishikawa Diagram Manufacturing'!Print_Area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2024-03-13T02:02:36Z</dcterms:created>
  <dcterms:modified xsi:type="dcterms:W3CDTF">2024-03-13T02:20:43Z</dcterms:modified>
</cp:coreProperties>
</file>