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D:\00 Documents\2018_11_Project_Management\PMBOK Tool Kit\Templates\Finished\"/>
    </mc:Choice>
  </mc:AlternateContent>
  <xr:revisionPtr revIDLastSave="0" documentId="13_ncr:1_{15661A78-6CAA-4C04-8039-4D1E5D531253}" xr6:coauthVersionLast="47" xr6:coauthVersionMax="47" xr10:uidLastSave="{00000000-0000-0000-0000-000000000000}"/>
  <bookViews>
    <workbookView xWindow="-108" yWindow="-108" windowWidth="23256" windowHeight="12576" xr2:uid="{00000000-000D-0000-FFFF-FFFF00000000}"/>
  </bookViews>
  <sheets>
    <sheet name="Pareto Chart" sheetId="3" r:id="rId1"/>
    <sheet name="©" sheetId="4" r:id="rId2"/>
  </sheets>
  <definedNames>
    <definedName name="_xlnm._FilterDatabase" localSheetId="0" hidden="1">'Pareto Chart'!$B$4:$E$4</definedName>
    <definedName name="OptionAndData">Table1[[Options / Labels]:[Data]]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5" i="3" l="1"/>
  <c r="D24" i="3" l="1"/>
  <c r="D16" i="3"/>
  <c r="D14" i="3"/>
  <c r="D12" i="3"/>
  <c r="D9" i="3"/>
  <c r="D7" i="3"/>
  <c r="D19" i="3"/>
  <c r="D15" i="3"/>
  <c r="D11" i="3"/>
  <c r="D5" i="3"/>
  <c r="D13" i="3"/>
  <c r="D8" i="3"/>
  <c r="D22" i="3"/>
  <c r="D21" i="3"/>
  <c r="D10" i="3"/>
  <c r="D20" i="3"/>
  <c r="D6" i="3"/>
  <c r="D18" i="3"/>
  <c r="D17" i="3"/>
  <c r="D23" i="3"/>
  <c r="D25" i="3" l="1"/>
  <c r="E5" i="3"/>
  <c r="E6" i="3" s="1"/>
  <c r="F5" i="3" l="1"/>
  <c r="F6" i="3"/>
  <c r="E7" i="3"/>
  <c r="F7" i="3" l="1"/>
  <c r="E8" i="3"/>
  <c r="E9" i="3" l="1"/>
  <c r="F8" i="3"/>
  <c r="E10" i="3" l="1"/>
  <c r="E11" i="3" s="1"/>
  <c r="E12" i="3" s="1"/>
  <c r="F9" i="3"/>
  <c r="E13" i="3" l="1"/>
  <c r="F12" i="3"/>
  <c r="F11" i="3"/>
  <c r="F10" i="3"/>
  <c r="F13" i="3" l="1"/>
  <c r="E14" i="3"/>
  <c r="E15" i="3" s="1"/>
  <c r="F14" i="3" l="1"/>
  <c r="E16" i="3" l="1"/>
  <c r="F15" i="3"/>
  <c r="F16" i="3" l="1"/>
  <c r="E17" i="3"/>
  <c r="F17" i="3" l="1"/>
  <c r="E18" i="3"/>
  <c r="E19" i="3" l="1"/>
  <c r="E20" i="3" s="1"/>
  <c r="F18" i="3"/>
  <c r="F19" i="3" l="1"/>
  <c r="E21" i="3" l="1"/>
  <c r="E22" i="3" s="1"/>
  <c r="F20" i="3"/>
  <c r="F22" i="3" l="1"/>
  <c r="E23" i="3"/>
  <c r="F21" i="3"/>
  <c r="F23" i="3" l="1"/>
  <c r="E24" i="3"/>
  <c r="F24" i="3" s="1"/>
</calcChain>
</file>

<file path=xl/sharedStrings.xml><?xml version="1.0" encoding="utf-8"?>
<sst xmlns="http://schemas.openxmlformats.org/spreadsheetml/2006/main" count="52" uniqueCount="49">
  <si>
    <t>Pareto Principle</t>
  </si>
  <si>
    <t>Data</t>
  </si>
  <si>
    <t>Total</t>
  </si>
  <si>
    <t>%</t>
  </si>
  <si>
    <t>Cumulative</t>
  </si>
  <si>
    <t>Option 1</t>
  </si>
  <si>
    <t>Option 2</t>
  </si>
  <si>
    <t>Option 3</t>
  </si>
  <si>
    <t>Option 5</t>
  </si>
  <si>
    <t>Option 6</t>
  </si>
  <si>
    <t>Option 7</t>
  </si>
  <si>
    <t>Option 8</t>
  </si>
  <si>
    <t>Option 9</t>
  </si>
  <si>
    <t>Option 10</t>
  </si>
  <si>
    <t>Option 11</t>
  </si>
  <si>
    <t>Line</t>
  </si>
  <si>
    <t>Option 12</t>
  </si>
  <si>
    <t xml:space="preserve">The table will increase in size to fit   </t>
  </si>
  <si>
    <t>Option 15</t>
  </si>
  <si>
    <t>Option 16</t>
  </si>
  <si>
    <t>Option 17</t>
  </si>
  <si>
    <t>Option 18</t>
  </si>
  <si>
    <t>Option 19</t>
  </si>
  <si>
    <t>Pareto line:</t>
  </si>
  <si>
    <t>Instructions</t>
  </si>
  <si>
    <t>Sort the 'Data' column from highest to lowest</t>
  </si>
  <si>
    <r>
      <t xml:space="preserve">Drag the </t>
    </r>
    <r>
      <rPr>
        <sz val="11"/>
        <color theme="7" tint="-0.249977111117893"/>
        <rFont val="Calibri"/>
        <family val="2"/>
        <scheme val="minor"/>
      </rPr>
      <t>yellow</t>
    </r>
    <r>
      <rPr>
        <sz val="11"/>
        <color theme="1"/>
        <rFont val="Calibri"/>
        <family val="2"/>
        <scheme val="minor"/>
      </rPr>
      <t xml:space="preserve"> table cells down (from an existing cell's bottom right corner) to fill any gaps</t>
    </r>
  </si>
  <si>
    <t>Process or Chart Name:</t>
  </si>
  <si>
    <t>Pareto Chart</t>
  </si>
  <si>
    <t>Add the Process Name in the top box</t>
  </si>
  <si>
    <t>Add the Pareto line you want in the Pareto Line box (the cut off point on the chart)</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</si>
  <si>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</si>
  <si>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</si>
  <si>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</si>
  <si>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</si>
  <si>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</si>
  <si>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Pareto Chart Template</t>
  </si>
  <si>
    <r>
      <rPr>
        <sz val="9"/>
        <color theme="1" tint="0.34998626667073579"/>
        <rFont val="Arial"/>
        <family val="2"/>
      </rPr>
      <t>◄</t>
    </r>
    <r>
      <rPr>
        <sz val="9"/>
        <color theme="1" tint="0.34998626667073579"/>
        <rFont val="Calibri"/>
        <family val="2"/>
      </rPr>
      <t xml:space="preserve"> You can paste your data into the "Options" and "Data" columns, then sort from largest to smallest.</t>
    </r>
  </si>
  <si>
    <r>
      <rPr>
        <sz val="9"/>
        <color theme="1" tint="0.34998626667073579"/>
        <rFont val="Arial"/>
        <family val="2"/>
      </rPr>
      <t>◄</t>
    </r>
    <r>
      <rPr>
        <sz val="9"/>
        <color theme="1" tint="0.34998626667073579"/>
        <rFont val="Calibri"/>
        <family val="2"/>
        <scheme val="minor"/>
      </rPr>
      <t xml:space="preserve"> When you paste, right click and select "Paste Special, Values Only". The Table will increase in size to fit the data.</t>
    </r>
  </si>
  <si>
    <r>
      <rPr>
        <sz val="9"/>
        <color theme="1" tint="0.34998626667073579"/>
        <rFont val="Arial"/>
        <family val="2"/>
      </rPr>
      <t>◄</t>
    </r>
    <r>
      <rPr>
        <sz val="9"/>
        <color theme="1" tint="0.34998626667073579"/>
        <rFont val="Calibri"/>
        <family val="2"/>
        <scheme val="minor"/>
      </rPr>
      <t xml:space="preserve"> Enter your "Process or Chart Name" in the field and the chart heading will update automatically.</t>
    </r>
  </si>
  <si>
    <r>
      <rPr>
        <sz val="9"/>
        <color theme="1" tint="0.34998626667073579"/>
        <rFont val="Arial"/>
        <family val="2"/>
      </rPr>
      <t>◄</t>
    </r>
    <r>
      <rPr>
        <sz val="9"/>
        <color theme="1" tint="0.34998626667073579"/>
        <rFont val="Calibri"/>
        <family val="2"/>
        <scheme val="minor"/>
      </rPr>
      <t xml:space="preserve"> You can change the "Pareto Line" percentage, and the chart will update automatically.</t>
    </r>
  </si>
  <si>
    <t>Do not delete this worksheet.</t>
  </si>
  <si>
    <t>Options / Labels</t>
  </si>
  <si>
    <t>Paste your data from the top left "Option / Label" column cell</t>
  </si>
  <si>
    <t>◄ Drag the Cumulative and Line columns down to match your new rows.</t>
  </si>
  <si>
    <r>
      <rPr>
        <sz val="9"/>
        <color theme="1" tint="0.34998626667073579"/>
        <rFont val="Arial"/>
        <family val="2"/>
      </rPr>
      <t>◄</t>
    </r>
    <r>
      <rPr>
        <sz val="9"/>
        <color theme="1" tint="0.34998626667073579"/>
        <rFont val="Calibri"/>
        <family val="2"/>
        <scheme val="minor"/>
      </rPr>
      <t xml:space="preserve"> </t>
    </r>
    <r>
      <rPr>
        <b/>
        <sz val="9"/>
        <color theme="1" tint="0.34998626667073579"/>
        <rFont val="Calibri"/>
        <family val="2"/>
        <scheme val="minor"/>
      </rPr>
      <t>Right click the table</t>
    </r>
    <r>
      <rPr>
        <sz val="9"/>
        <color theme="1" tint="0.34998626667073579"/>
        <rFont val="Calibri"/>
        <family val="2"/>
        <scheme val="minor"/>
      </rPr>
      <t xml:space="preserve"> and "Insert &gt; Table row below" to add more rows</t>
    </r>
  </si>
  <si>
    <t>The chart will update automatically based on the data in the table</t>
  </si>
  <si>
    <t>Right click the table and "Insert &gt; Table row below" to add more rows. Drag to copy the Cumulative and Line rows down to match.</t>
  </si>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</sst>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7" tint="-0.249977111117893"/>
      <name val="Calibri"/>
      <family val="2"/>
      <scheme val="minor"/>
    </font>
    <font>
      <sz val="9"/>
      <color theme="1"/>
      <name val="Calibri  "/>
    </font>
    <font>
      <sz val="9"/>
      <color theme="1"/>
      <name val="Calibri"/>
      <family val="2"/>
      <scheme val="minor"/>
    </font>
    <font>
      <sz val="9"/>
      <color theme="1"/>
      <name val="Arial"/>
      <family val="2"/>
    </font>
    <font>
      <i/>
      <sz val="26"/>
      <color theme="0"/>
      <name val="Calibri"/>
      <family val="2"/>
      <scheme val="minor"/>
    </font>
    <font>
      <b/>
      <sz val="11"/>
      <color theme="0"/>
      <name val="Arial"/>
      <family val="2"/>
    </font>
    <font>
      <b/>
      <sz val="16"/>
      <color theme="0"/>
      <name val="Arial"/>
      <family val="2"/>
    </font>
    <font>
      <sz val="12"/>
      <color theme="1"/>
      <name val="Arial"/>
      <family val="2"/>
    </font>
    <font>
      <sz val="11"/>
      <color theme="1"/>
      <name val="Arial"/>
      <family val="2"/>
    </font>
    <font>
      <b/>
      <sz val="12"/>
      <color theme="1"/>
      <name val="Arial"/>
      <family val="2"/>
    </font>
    <font>
      <i/>
      <sz val="14"/>
      <color theme="1"/>
      <name val="Arial"/>
      <family val="2"/>
    </font>
    <font>
      <sz val="9"/>
      <color theme="1" tint="0.34998626667073579"/>
      <name val="Calibri"/>
      <family val="2"/>
    </font>
    <font>
      <sz val="9"/>
      <color theme="1" tint="0.34998626667073579"/>
      <name val="Arial"/>
      <family val="2"/>
    </font>
    <font>
      <sz val="9"/>
      <color theme="1" tint="0.34998626667073579"/>
      <name val="Calibri"/>
      <family val="2"/>
      <scheme val="minor"/>
    </font>
    <font>
      <sz val="11"/>
      <color theme="1" tint="0.34998626667073579"/>
      <name val="Calibri"/>
      <family val="2"/>
      <scheme val="minor"/>
    </font>
    <font>
      <b/>
      <sz val="11"/>
      <color theme="1" tint="0.249977111117893"/>
      <name val="Calibri"/>
      <family val="2"/>
      <scheme val="minor"/>
    </font>
    <font>
      <sz val="11"/>
      <color theme="1" tint="0.249977111117893"/>
      <name val="Calibri"/>
      <family val="2"/>
      <scheme val="minor"/>
    </font>
    <font>
      <sz val="12"/>
      <color theme="1" tint="0.34998626667073579"/>
      <name val="Calibri"/>
      <family val="2"/>
      <scheme val="minor"/>
    </font>
    <font>
      <b/>
      <sz val="9"/>
      <color theme="1" tint="0.34998626667073579"/>
      <name val="Calibri"/>
      <family val="2"/>
      <scheme val="minor"/>
    </font>
  </fonts>
  <fills count="8">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rgb="FF8FB9AB"/>
        <bgColor indexed="64"/>
      </patternFill>
    </fill>
    <fill>
      <patternFill patternType="solid">
        <fgColor rgb="FF8FB9AB"/>
        <bgColor theme="4"/>
      </patternFill>
    </fill>
    <fill>
      <patternFill patternType="solid">
        <fgColor rgb="FFFDDBB1"/>
        <bgColor indexed="64"/>
      </patternFill>
    </fill>
    <fill>
      <patternFill patternType="solid">
        <fgColor theme="3" tint="0.59999389629810485"/>
        <bgColor indexed="64"/>
      </patternFill>
    </fill>
  </fills>
  <borders count="2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theme="3"/>
      </bottom>
      <diagonal/>
    </border>
    <border>
      <left/>
      <right style="thin">
        <color indexed="64"/>
      </right>
      <top/>
      <bottom style="dotted">
        <color indexed="64"/>
      </bottom>
      <diagonal/>
    </border>
    <border>
      <left style="thin">
        <color indexed="64"/>
      </left>
      <right style="thin">
        <color indexed="64"/>
      </right>
      <top/>
      <bottom style="dotted">
        <color indexed="64"/>
      </bottom>
      <diagonal/>
    </border>
    <border>
      <left style="thin">
        <color indexed="64"/>
      </left>
      <right/>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diagonal/>
    </border>
    <border>
      <left style="thin">
        <color indexed="64"/>
      </left>
      <right style="thin">
        <color indexed="64"/>
      </right>
      <top style="dotted">
        <color indexed="64"/>
      </top>
      <bottom/>
      <diagonal/>
    </border>
    <border>
      <left style="thin">
        <color indexed="64"/>
      </left>
      <right/>
      <top style="dotted">
        <color indexed="64"/>
      </top>
      <bottom/>
      <diagonal/>
    </border>
    <border>
      <left style="thin">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dotted">
        <color indexed="64"/>
      </bottom>
      <diagonal/>
    </border>
    <border>
      <left style="medium">
        <color indexed="64"/>
      </left>
      <right/>
      <top style="medium">
        <color indexed="64"/>
      </top>
      <bottom style="dotted">
        <color indexed="64"/>
      </bottom>
      <diagonal/>
    </border>
    <border>
      <left style="medium">
        <color indexed="64"/>
      </left>
      <right/>
      <top style="dotted">
        <color indexed="64"/>
      </top>
      <bottom style="dotted">
        <color indexed="64"/>
      </bottom>
      <diagonal/>
    </border>
    <border>
      <left style="medium">
        <color indexed="64"/>
      </left>
      <right/>
      <top style="dotted">
        <color indexed="64"/>
      </top>
      <bottom style="medium">
        <color indexed="64"/>
      </bottom>
      <diagonal/>
    </border>
  </borders>
  <cellStyleXfs count="2">
    <xf numFmtId="0" fontId="0" fillId="0" borderId="0"/>
    <xf numFmtId="9" fontId="1" fillId="0" borderId="0" applyFont="0" applyFill="0" applyBorder="0" applyAlignment="0" applyProtection="0"/>
  </cellStyleXfs>
  <cellXfs count="46">
    <xf numFmtId="0" fontId="0" fillId="0" borderId="0" xfId="0"/>
    <xf numFmtId="0" fontId="3" fillId="0" borderId="0" xfId="0" applyFont="1"/>
    <xf numFmtId="0" fontId="0" fillId="3" borderId="0" xfId="0" applyFill="1"/>
    <xf numFmtId="0" fontId="2" fillId="3" borderId="0" xfId="0" applyFont="1" applyFill="1" applyAlignment="1">
      <alignment horizontal="right" vertical="center" indent="1"/>
    </xf>
    <xf numFmtId="0" fontId="10" fillId="3" borderId="0" xfId="0" applyFont="1" applyFill="1"/>
    <xf numFmtId="0" fontId="11" fillId="3" borderId="0" xfId="0" applyFont="1" applyFill="1" applyAlignment="1">
      <alignment vertical="center"/>
    </xf>
    <xf numFmtId="0" fontId="12" fillId="2" borderId="0" xfId="0" applyFont="1" applyFill="1" applyAlignment="1">
      <alignment vertical="center"/>
    </xf>
    <xf numFmtId="0" fontId="13" fillId="2" borderId="0" xfId="0" applyFont="1" applyFill="1" applyAlignment="1">
      <alignment vertical="center"/>
    </xf>
    <xf numFmtId="0" fontId="12" fillId="2" borderId="0" xfId="0" applyFont="1" applyFill="1" applyAlignment="1">
      <alignment vertical="center" wrapText="1"/>
    </xf>
    <xf numFmtId="0" fontId="15" fillId="2" borderId="4" xfId="0" applyFont="1" applyFill="1" applyBorder="1" applyAlignment="1">
      <alignment vertical="center"/>
    </xf>
    <xf numFmtId="0" fontId="16" fillId="0" borderId="0" xfId="0" applyFont="1" applyAlignment="1">
      <alignment horizontal="left" vertical="center" indent="1"/>
    </xf>
    <xf numFmtId="0" fontId="18" fillId="0" borderId="0" xfId="0" applyFont="1" applyAlignment="1">
      <alignment horizontal="left" vertical="center" indent="1"/>
    </xf>
    <xf numFmtId="0" fontId="6" fillId="0" borderId="0" xfId="0" applyFont="1" applyAlignment="1">
      <alignment horizontal="right" indent="1"/>
    </xf>
    <xf numFmtId="0" fontId="7" fillId="0" borderId="0" xfId="0" applyFont="1"/>
    <xf numFmtId="0" fontId="8" fillId="0" borderId="0" xfId="0" applyFont="1" applyAlignment="1">
      <alignment horizontal="right" indent="1"/>
    </xf>
    <xf numFmtId="0" fontId="20" fillId="0" borderId="0" xfId="0" applyFont="1" applyAlignment="1">
      <alignment horizontal="right" vertical="center" indent="1"/>
    </xf>
    <xf numFmtId="0" fontId="21" fillId="0" borderId="0" xfId="0" applyFont="1"/>
    <xf numFmtId="0" fontId="0" fillId="0" borderId="6" xfId="0" applyBorder="1" applyAlignment="1">
      <alignment horizontal="center" vertical="center"/>
    </xf>
    <xf numFmtId="0" fontId="0" fillId="0" borderId="9" xfId="0" applyBorder="1" applyAlignment="1">
      <alignment horizontal="center" vertical="center"/>
    </xf>
    <xf numFmtId="0" fontId="0" fillId="0" borderId="12" xfId="0" applyBorder="1" applyAlignment="1">
      <alignment horizontal="center" vertical="center"/>
    </xf>
    <xf numFmtId="0" fontId="4" fillId="4" borderId="16" xfId="0" applyFont="1" applyFill="1" applyBorder="1" applyAlignment="1">
      <alignment horizontal="center" vertical="center"/>
    </xf>
    <xf numFmtId="0" fontId="4" fillId="4" borderId="17" xfId="0" applyFont="1" applyFill="1" applyBorder="1" applyAlignment="1">
      <alignment horizontal="center" vertical="center"/>
    </xf>
    <xf numFmtId="0" fontId="2" fillId="5" borderId="17" xfId="0" applyFont="1" applyFill="1" applyBorder="1" applyAlignment="1">
      <alignment horizontal="center" vertical="center"/>
    </xf>
    <xf numFmtId="0" fontId="2" fillId="5" borderId="18" xfId="0" applyFont="1" applyFill="1" applyBorder="1" applyAlignment="1">
      <alignment horizontal="center" vertical="center"/>
    </xf>
    <xf numFmtId="0" fontId="4" fillId="4" borderId="19" xfId="0" applyFont="1" applyFill="1" applyBorder="1" applyAlignment="1">
      <alignment horizontal="center" vertical="center"/>
    </xf>
    <xf numFmtId="9" fontId="0" fillId="6" borderId="7" xfId="1" applyFont="1" applyFill="1" applyBorder="1" applyAlignment="1">
      <alignment horizontal="center" vertical="center"/>
    </xf>
    <xf numFmtId="9" fontId="0" fillId="6" borderId="10" xfId="1" applyFont="1" applyFill="1" applyBorder="1" applyAlignment="1">
      <alignment horizontal="center" vertical="center"/>
    </xf>
    <xf numFmtId="9" fontId="0" fillId="6" borderId="13" xfId="1" applyFont="1" applyFill="1" applyBorder="1" applyAlignment="1">
      <alignment horizontal="center" vertical="center"/>
    </xf>
    <xf numFmtId="0" fontId="0" fillId="3" borderId="0" xfId="0" applyFill="1" applyAlignment="1">
      <alignment vertical="center"/>
    </xf>
    <xf numFmtId="9" fontId="21" fillId="7" borderId="20" xfId="1" applyFont="1" applyFill="1" applyBorder="1" applyAlignment="1">
      <alignment horizontal="center" vertical="center"/>
    </xf>
    <xf numFmtId="9" fontId="21" fillId="7" borderId="14" xfId="1" applyFont="1" applyFill="1" applyBorder="1" applyAlignment="1">
      <alignment horizontal="center" vertical="center"/>
    </xf>
    <xf numFmtId="9" fontId="21" fillId="7" borderId="15" xfId="1" applyFont="1" applyFill="1" applyBorder="1" applyAlignment="1">
      <alignment horizontal="center" vertical="center"/>
    </xf>
    <xf numFmtId="0" fontId="0" fillId="0" borderId="5" xfId="0" applyBorder="1" applyAlignment="1">
      <alignment horizontal="center" vertical="center" wrapText="1"/>
    </xf>
    <xf numFmtId="0" fontId="0" fillId="0" borderId="8" xfId="0" applyBorder="1" applyAlignment="1">
      <alignment horizontal="center" vertical="center" wrapText="1"/>
    </xf>
    <xf numFmtId="0" fontId="0" fillId="0" borderId="11" xfId="0" applyBorder="1" applyAlignment="1">
      <alignment horizontal="center" vertical="center" wrapText="1"/>
    </xf>
    <xf numFmtId="0" fontId="0" fillId="0" borderId="0" xfId="0" applyAlignment="1">
      <alignment horizontal="center" vertical="center"/>
    </xf>
    <xf numFmtId="9" fontId="0" fillId="0" borderId="0" xfId="0" applyNumberFormat="1" applyAlignment="1">
      <alignment horizontal="center" vertical="center"/>
    </xf>
    <xf numFmtId="9" fontId="0" fillId="7" borderId="21" xfId="1" applyFont="1" applyFill="1" applyBorder="1" applyAlignment="1">
      <alignment horizontal="center" vertical="center"/>
    </xf>
    <xf numFmtId="9" fontId="0" fillId="7" borderId="22" xfId="1" applyFont="1" applyFill="1" applyBorder="1" applyAlignment="1">
      <alignment horizontal="center" vertical="center"/>
    </xf>
    <xf numFmtId="9" fontId="0" fillId="7" borderId="23" xfId="1" applyFont="1" applyFill="1" applyBorder="1" applyAlignment="1">
      <alignment horizontal="center" vertical="center"/>
    </xf>
    <xf numFmtId="9" fontId="22" fillId="2" borderId="1" xfId="0" applyNumberFormat="1" applyFont="1" applyFill="1" applyBorder="1" applyAlignment="1">
      <alignment horizontal="center" vertical="center"/>
    </xf>
    <xf numFmtId="9" fontId="22" fillId="2" borderId="3" xfId="0" applyNumberFormat="1" applyFont="1" applyFill="1" applyBorder="1" applyAlignment="1">
      <alignment horizontal="center" vertical="center"/>
    </xf>
    <xf numFmtId="0" fontId="9" fillId="3" borderId="0" xfId="0" applyFont="1" applyFill="1" applyAlignment="1">
      <alignment horizontal="center" vertical="center"/>
    </xf>
    <xf numFmtId="0" fontId="19" fillId="2" borderId="1" xfId="0" applyFont="1" applyFill="1" applyBorder="1" applyAlignment="1">
      <alignment horizontal="left" vertical="center" indent="1"/>
    </xf>
    <xf numFmtId="0" fontId="19" fillId="2" borderId="2" xfId="0" applyFont="1" applyFill="1" applyBorder="1" applyAlignment="1">
      <alignment horizontal="left" vertical="center" indent="1"/>
    </xf>
    <xf numFmtId="0" fontId="19" fillId="2" borderId="3" xfId="0" applyFont="1" applyFill="1" applyBorder="1" applyAlignment="1">
      <alignment horizontal="left" vertical="center" indent="1"/>
    </xf>
  </cellXfs>
  <cellStyles count="2">
    <cellStyle name="Normal" xfId="0" builtinId="0"/>
    <cellStyle name="Percent" xfId="1" builtinId="5"/>
  </cellStyles>
  <dxfs count="7">
    <dxf>
      <fill>
        <patternFill patternType="solid">
          <fgColor indexed="64"/>
          <bgColor rgb="FFFDDBB1"/>
        </patternFill>
      </fill>
      <alignment horizontal="center" vertical="center" textRotation="0" wrapText="0" indent="0" justifyLastLine="0" shrinkToFit="0" readingOrder="0"/>
      <border diagonalUp="0" diagonalDown="0" outline="0">
        <left style="thin">
          <color indexed="64"/>
        </left>
        <right/>
        <top style="dotted">
          <color indexed="64"/>
        </top>
        <bottom style="dotted">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dotted">
          <color indexed="64"/>
        </top>
        <bottom style="dotted">
          <color indexed="64"/>
        </bottom>
      </border>
    </dxf>
    <dxf>
      <alignment horizontal="center" vertical="center" textRotation="0" wrapText="1" indent="0" justifyLastLine="0" shrinkToFit="0" readingOrder="0"/>
      <border diagonalUp="0" diagonalDown="0" outline="0">
        <left/>
        <right style="thin">
          <color indexed="64"/>
        </right>
        <top style="dotted">
          <color indexed="64"/>
        </top>
        <bottom style="dotted">
          <color indexed="64"/>
        </bottom>
      </border>
    </dxf>
    <dxf>
      <border diagonalUp="0" diagonalDown="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border>
        <bottom style="medium">
          <color indexed="64"/>
        </bottom>
      </border>
    </dxf>
    <dxf>
      <font>
        <strike val="0"/>
        <outline val="0"/>
        <shadow val="0"/>
        <u val="none"/>
        <vertAlign val="baseline"/>
        <sz val="11"/>
        <color theme="0"/>
        <name val="Calibri"/>
        <scheme val="minor"/>
      </font>
      <fill>
        <patternFill>
          <bgColor rgb="FF8FB9AB"/>
        </patternFill>
      </fill>
      <alignment horizontal="center" vertical="center" textRotation="0" wrapText="0" indent="0" justifyLastLine="0" shrinkToFit="0" readingOrder="0"/>
      <border diagonalUp="0" diagonalDown="0">
        <left/>
        <right/>
        <top/>
        <bottom/>
        <vertical/>
        <horizontal/>
      </border>
    </dxf>
  </dxfs>
  <tableStyles count="0" defaultTableStyle="TableStyleMedium2" defaultPivotStyle="PivotStyleLight16"/>
  <colors>
    <mruColors>
      <color rgb="FF8FB9AB"/>
      <color rgb="FFFDDBB1"/>
      <color rgb="FF4B699B"/>
      <color rgb="FF203764"/>
      <color rgb="FF333F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'Pareto Chart'!$I$2</c:f>
          <c:strCache>
            <c:ptCount val="1"/>
            <c:pt idx="0">
              <c:v>Pareto Chart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'Pareto Chart'!$C$4</c:f>
              <c:strCache>
                <c:ptCount val="1"/>
                <c:pt idx="0">
                  <c:v>Data</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 Chart'!$B$5:$B$24</c:f>
              <c:strCache>
                <c:ptCount val="19"/>
                <c:pt idx="0">
                  <c:v>Option 11</c:v>
                </c:pt>
                <c:pt idx="1">
                  <c:v>Option 19</c:v>
                </c:pt>
                <c:pt idx="2">
                  <c:v>Option 10</c:v>
                </c:pt>
                <c:pt idx="3">
                  <c:v>Option 18</c:v>
                </c:pt>
                <c:pt idx="4">
                  <c:v>Option 9</c:v>
                </c:pt>
                <c:pt idx="5">
                  <c:v>Option 6</c:v>
                </c:pt>
                <c:pt idx="6">
                  <c:v>Option 17</c:v>
                </c:pt>
                <c:pt idx="7">
                  <c:v>Option 8</c:v>
                </c:pt>
                <c:pt idx="8">
                  <c:v>Option 16</c:v>
                </c:pt>
                <c:pt idx="9">
                  <c:v>Option 7</c:v>
                </c:pt>
                <c:pt idx="10">
                  <c:v>Option 15</c:v>
                </c:pt>
                <c:pt idx="11">
                  <c:v>Option 6</c:v>
                </c:pt>
                <c:pt idx="12">
                  <c:v>Option 5</c:v>
                </c:pt>
                <c:pt idx="13">
                  <c:v>Option 2</c:v>
                </c:pt>
                <c:pt idx="14">
                  <c:v>Option 9</c:v>
                </c:pt>
                <c:pt idx="15">
                  <c:v>Option 1</c:v>
                </c:pt>
                <c:pt idx="16">
                  <c:v>Option 8</c:v>
                </c:pt>
                <c:pt idx="17">
                  <c:v>Option 3</c:v>
                </c:pt>
                <c:pt idx="18">
                  <c:v>Option 12</c:v>
                </c:pt>
              </c:strCache>
            </c:strRef>
          </c:cat>
          <c:val>
            <c:numRef>
              <c:f>'Pareto Chart'!$C$5:$C$24</c:f>
              <c:numCache>
                <c:formatCode>General</c:formatCode>
                <c:ptCount val="20"/>
                <c:pt idx="0">
                  <c:v>45</c:v>
                </c:pt>
                <c:pt idx="1">
                  <c:v>30</c:v>
                </c:pt>
                <c:pt idx="2">
                  <c:v>20</c:v>
                </c:pt>
                <c:pt idx="3">
                  <c:v>15</c:v>
                </c:pt>
                <c:pt idx="4">
                  <c:v>10</c:v>
                </c:pt>
                <c:pt idx="5">
                  <c:v>5</c:v>
                </c:pt>
                <c:pt idx="6">
                  <c:v>4</c:v>
                </c:pt>
                <c:pt idx="7">
                  <c:v>3</c:v>
                </c:pt>
                <c:pt idx="8">
                  <c:v>2</c:v>
                </c:pt>
                <c:pt idx="9">
                  <c:v>2</c:v>
                </c:pt>
                <c:pt idx="10">
                  <c:v>2</c:v>
                </c:pt>
                <c:pt idx="11">
                  <c:v>1</c:v>
                </c:pt>
                <c:pt idx="12">
                  <c:v>1</c:v>
                </c:pt>
                <c:pt idx="13">
                  <c:v>1</c:v>
                </c:pt>
                <c:pt idx="14">
                  <c:v>1</c:v>
                </c:pt>
                <c:pt idx="15">
                  <c:v>1</c:v>
                </c:pt>
                <c:pt idx="16">
                  <c:v>1</c:v>
                </c:pt>
                <c:pt idx="17">
                  <c:v>1</c:v>
                </c:pt>
                <c:pt idx="18">
                  <c:v>1</c:v>
                </c:pt>
              </c:numCache>
            </c:numRef>
          </c:val>
          <c:extLst>
            <c:ext xmlns:c16="http://schemas.microsoft.com/office/drawing/2014/chart" uri="{C3380CC4-5D6E-409C-BE32-E72D297353CC}">
              <c16:uniqueId val="{00000000-CCEB-49F4-8202-B8F4129798F2}"/>
            </c:ext>
          </c:extLst>
        </c:ser>
        <c:dLbls>
          <c:showLegendKey val="0"/>
          <c:showVal val="0"/>
          <c:showCatName val="0"/>
          <c:showSerName val="0"/>
          <c:showPercent val="0"/>
          <c:showBubbleSize val="0"/>
        </c:dLbls>
        <c:gapWidth val="50"/>
        <c:axId val="164322600"/>
        <c:axId val="164322992"/>
      </c:barChart>
      <c:lineChart>
        <c:grouping val="standard"/>
        <c:varyColors val="0"/>
        <c:ser>
          <c:idx val="2"/>
          <c:order val="1"/>
          <c:tx>
            <c:strRef>
              <c:f>'Pareto Chart'!$E$4</c:f>
              <c:strCache>
                <c:ptCount val="1"/>
                <c:pt idx="0">
                  <c:v>Cumulative</c:v>
                </c:pt>
              </c:strCache>
            </c:strRef>
          </c:tx>
          <c:spPr>
            <a:ln w="28575" cap="rnd">
              <a:solidFill>
                <a:schemeClr val="accent4"/>
              </a:solidFill>
              <a:round/>
            </a:ln>
            <a:effectLst/>
          </c:spPr>
          <c:marker>
            <c:symbol val="circle"/>
            <c:size val="6"/>
            <c:spPr>
              <a:solidFill>
                <a:schemeClr val="accent4"/>
              </a:solidFill>
              <a:ln w="9525">
                <a:noFill/>
              </a:ln>
              <a:effectLst/>
            </c:spPr>
          </c:marker>
          <c:cat>
            <c:strRef>
              <c:f>'Pareto Chart'!$B$5:$B$24</c:f>
              <c:strCache>
                <c:ptCount val="19"/>
                <c:pt idx="0">
                  <c:v>Option 11</c:v>
                </c:pt>
                <c:pt idx="1">
                  <c:v>Option 19</c:v>
                </c:pt>
                <c:pt idx="2">
                  <c:v>Option 10</c:v>
                </c:pt>
                <c:pt idx="3">
                  <c:v>Option 18</c:v>
                </c:pt>
                <c:pt idx="4">
                  <c:v>Option 9</c:v>
                </c:pt>
                <c:pt idx="5">
                  <c:v>Option 6</c:v>
                </c:pt>
                <c:pt idx="6">
                  <c:v>Option 17</c:v>
                </c:pt>
                <c:pt idx="7">
                  <c:v>Option 8</c:v>
                </c:pt>
                <c:pt idx="8">
                  <c:v>Option 16</c:v>
                </c:pt>
                <c:pt idx="9">
                  <c:v>Option 7</c:v>
                </c:pt>
                <c:pt idx="10">
                  <c:v>Option 15</c:v>
                </c:pt>
                <c:pt idx="11">
                  <c:v>Option 6</c:v>
                </c:pt>
                <c:pt idx="12">
                  <c:v>Option 5</c:v>
                </c:pt>
                <c:pt idx="13">
                  <c:v>Option 2</c:v>
                </c:pt>
                <c:pt idx="14">
                  <c:v>Option 9</c:v>
                </c:pt>
                <c:pt idx="15">
                  <c:v>Option 1</c:v>
                </c:pt>
                <c:pt idx="16">
                  <c:v>Option 8</c:v>
                </c:pt>
                <c:pt idx="17">
                  <c:v>Option 3</c:v>
                </c:pt>
                <c:pt idx="18">
                  <c:v>Option 12</c:v>
                </c:pt>
              </c:strCache>
            </c:strRef>
          </c:cat>
          <c:val>
            <c:numRef>
              <c:f>'Pareto Chart'!$E$5:$E$23</c:f>
              <c:numCache>
                <c:formatCode>0%</c:formatCode>
                <c:ptCount val="19"/>
                <c:pt idx="0">
                  <c:v>0.30821917808219179</c:v>
                </c:pt>
                <c:pt idx="1">
                  <c:v>0.51369863013698636</c:v>
                </c:pt>
                <c:pt idx="2">
                  <c:v>0.65068493150684936</c:v>
                </c:pt>
                <c:pt idx="3">
                  <c:v>0.75342465753424659</c:v>
                </c:pt>
                <c:pt idx="4">
                  <c:v>0.82191780821917804</c:v>
                </c:pt>
                <c:pt idx="5">
                  <c:v>0.85616438356164382</c:v>
                </c:pt>
                <c:pt idx="6">
                  <c:v>0.88356164383561642</c:v>
                </c:pt>
                <c:pt idx="7">
                  <c:v>0.90410958904109584</c:v>
                </c:pt>
                <c:pt idx="8">
                  <c:v>0.91780821917808209</c:v>
                </c:pt>
                <c:pt idx="9">
                  <c:v>0.93150684931506844</c:v>
                </c:pt>
                <c:pt idx="10">
                  <c:v>0.9452054794520548</c:v>
                </c:pt>
                <c:pt idx="11">
                  <c:v>0.95205479452054798</c:v>
                </c:pt>
                <c:pt idx="12">
                  <c:v>0.95890410958904115</c:v>
                </c:pt>
                <c:pt idx="13">
                  <c:v>0.96575342465753433</c:v>
                </c:pt>
                <c:pt idx="14">
                  <c:v>0.97260273972602751</c:v>
                </c:pt>
                <c:pt idx="15">
                  <c:v>0.97945205479452069</c:v>
                </c:pt>
                <c:pt idx="16">
                  <c:v>0.98630136986301387</c:v>
                </c:pt>
                <c:pt idx="17">
                  <c:v>0.99315068493150704</c:v>
                </c:pt>
                <c:pt idx="18">
                  <c:v>1.0000000000000002</c:v>
                </c:pt>
              </c:numCache>
            </c:numRef>
          </c:val>
          <c:smooth val="0"/>
          <c:extLst>
            <c:ext xmlns:c16="http://schemas.microsoft.com/office/drawing/2014/chart" uri="{C3380CC4-5D6E-409C-BE32-E72D297353CC}">
              <c16:uniqueId val="{00000001-CCEB-49F4-8202-B8F4129798F2}"/>
            </c:ext>
          </c:extLst>
        </c:ser>
        <c:ser>
          <c:idx val="0"/>
          <c:order val="2"/>
          <c:tx>
            <c:strRef>
              <c:f>'Pareto Chart'!$F$4</c:f>
              <c:strCache>
                <c:ptCount val="1"/>
                <c:pt idx="0">
                  <c:v>Line</c:v>
                </c:pt>
              </c:strCache>
            </c:strRef>
          </c:tx>
          <c:spPr>
            <a:ln w="12700" cap="rnd">
              <a:solidFill>
                <a:schemeClr val="tx1">
                  <a:lumMod val="50000"/>
                  <a:lumOff val="50000"/>
                </a:schemeClr>
              </a:solidFill>
              <a:prstDash val="sysDash"/>
              <a:round/>
            </a:ln>
            <a:effectLst/>
          </c:spPr>
          <c:marker>
            <c:symbol val="none"/>
          </c:marker>
          <c:cat>
            <c:strRef>
              <c:f>'Pareto Chart'!$B$5:$B$24</c:f>
              <c:strCache>
                <c:ptCount val="19"/>
                <c:pt idx="0">
                  <c:v>Option 11</c:v>
                </c:pt>
                <c:pt idx="1">
                  <c:v>Option 19</c:v>
                </c:pt>
                <c:pt idx="2">
                  <c:v>Option 10</c:v>
                </c:pt>
                <c:pt idx="3">
                  <c:v>Option 18</c:v>
                </c:pt>
                <c:pt idx="4">
                  <c:v>Option 9</c:v>
                </c:pt>
                <c:pt idx="5">
                  <c:v>Option 6</c:v>
                </c:pt>
                <c:pt idx="6">
                  <c:v>Option 17</c:v>
                </c:pt>
                <c:pt idx="7">
                  <c:v>Option 8</c:v>
                </c:pt>
                <c:pt idx="8">
                  <c:v>Option 16</c:v>
                </c:pt>
                <c:pt idx="9">
                  <c:v>Option 7</c:v>
                </c:pt>
                <c:pt idx="10">
                  <c:v>Option 15</c:v>
                </c:pt>
                <c:pt idx="11">
                  <c:v>Option 6</c:v>
                </c:pt>
                <c:pt idx="12">
                  <c:v>Option 5</c:v>
                </c:pt>
                <c:pt idx="13">
                  <c:v>Option 2</c:v>
                </c:pt>
                <c:pt idx="14">
                  <c:v>Option 9</c:v>
                </c:pt>
                <c:pt idx="15">
                  <c:v>Option 1</c:v>
                </c:pt>
                <c:pt idx="16">
                  <c:v>Option 8</c:v>
                </c:pt>
                <c:pt idx="17">
                  <c:v>Option 3</c:v>
                </c:pt>
                <c:pt idx="18">
                  <c:v>Option 12</c:v>
                </c:pt>
              </c:strCache>
            </c:strRef>
          </c:cat>
          <c:val>
            <c:numRef>
              <c:f>'Pareto Chart'!$F$5:$F$23</c:f>
              <c:numCache>
                <c:formatCode>0%</c:formatCode>
                <c:ptCount val="19"/>
                <c:pt idx="0">
                  <c:v>0.7</c:v>
                </c:pt>
                <c:pt idx="1">
                  <c:v>0.7</c:v>
                </c:pt>
                <c:pt idx="2">
                  <c:v>0.7</c:v>
                </c:pt>
                <c:pt idx="3">
                  <c:v>0.7</c:v>
                </c:pt>
                <c:pt idx="4">
                  <c:v>0.7</c:v>
                </c:pt>
                <c:pt idx="5">
                  <c:v>0.7</c:v>
                </c:pt>
                <c:pt idx="6">
                  <c:v>0.7</c:v>
                </c:pt>
                <c:pt idx="7">
                  <c:v>0.7</c:v>
                </c:pt>
                <c:pt idx="8">
                  <c:v>0.7</c:v>
                </c:pt>
                <c:pt idx="9">
                  <c:v>0.7</c:v>
                </c:pt>
                <c:pt idx="10">
                  <c:v>0.7</c:v>
                </c:pt>
                <c:pt idx="11">
                  <c:v>0.7</c:v>
                </c:pt>
                <c:pt idx="12">
                  <c:v>0.7</c:v>
                </c:pt>
                <c:pt idx="13">
                  <c:v>0.7</c:v>
                </c:pt>
                <c:pt idx="14">
                  <c:v>0.7</c:v>
                </c:pt>
                <c:pt idx="15">
                  <c:v>0.7</c:v>
                </c:pt>
                <c:pt idx="16">
                  <c:v>0.7</c:v>
                </c:pt>
                <c:pt idx="17">
                  <c:v>0.7</c:v>
                </c:pt>
                <c:pt idx="18">
                  <c:v>0.7</c:v>
                </c:pt>
              </c:numCache>
            </c:numRef>
          </c:val>
          <c:smooth val="0"/>
          <c:extLst>
            <c:ext xmlns:c16="http://schemas.microsoft.com/office/drawing/2014/chart" uri="{C3380CC4-5D6E-409C-BE32-E72D297353CC}">
              <c16:uniqueId val="{00000002-CCEB-49F4-8202-B8F4129798F2}"/>
            </c:ext>
          </c:extLst>
        </c:ser>
        <c:dLbls>
          <c:showLegendKey val="0"/>
          <c:showVal val="0"/>
          <c:showCatName val="0"/>
          <c:showSerName val="0"/>
          <c:showPercent val="0"/>
          <c:showBubbleSize val="0"/>
        </c:dLbls>
        <c:marker val="1"/>
        <c:smooth val="0"/>
        <c:axId val="164323384"/>
        <c:axId val="164320248"/>
      </c:lineChart>
      <c:catAx>
        <c:axId val="164322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22992"/>
        <c:crosses val="autoZero"/>
        <c:auto val="1"/>
        <c:lblAlgn val="ctr"/>
        <c:lblOffset val="100"/>
        <c:noMultiLvlLbl val="0"/>
      </c:catAx>
      <c:valAx>
        <c:axId val="164322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22600"/>
        <c:crosses val="autoZero"/>
        <c:crossBetween val="between"/>
      </c:valAx>
      <c:valAx>
        <c:axId val="164320248"/>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23384"/>
        <c:crosses val="max"/>
        <c:crossBetween val="between"/>
      </c:valAx>
      <c:catAx>
        <c:axId val="164323384"/>
        <c:scaling>
          <c:orientation val="minMax"/>
        </c:scaling>
        <c:delete val="1"/>
        <c:axPos val="b"/>
        <c:numFmt formatCode="General" sourceLinked="1"/>
        <c:majorTickMark val="out"/>
        <c:minorTickMark val="none"/>
        <c:tickLblPos val="nextTo"/>
        <c:crossAx val="164320248"/>
        <c:crosses val="autoZero"/>
        <c:auto val="1"/>
        <c:lblAlgn val="ctr"/>
        <c:lblOffset val="100"/>
        <c:noMultiLvlLbl val="0"/>
      </c:catAx>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6</xdr:col>
      <xdr:colOff>449580</xdr:colOff>
      <xdr:row>3</xdr:row>
      <xdr:rowOff>0</xdr:rowOff>
    </xdr:from>
    <xdr:to>
      <xdr:col>14</xdr:col>
      <xdr:colOff>563880</xdr:colOff>
      <xdr:row>23</xdr:row>
      <xdr:rowOff>15240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4:D24" totalsRowShown="0" headerRowDxfId="6" dataDxfId="4" headerRowBorderDxfId="5" tableBorderDxfId="3">
  <autoFilter ref="B4:D24" xr:uid="{00000000-0009-0000-0100-000001000000}"/>
  <sortState xmlns:xlrd2="http://schemas.microsoft.com/office/spreadsheetml/2017/richdata2" ref="B7:D25">
    <sortCondition descending="1" ref="C6:C25"/>
  </sortState>
  <tableColumns count="3">
    <tableColumn id="1" xr3:uid="{00000000-0010-0000-0000-000001000000}" name="Options / Labels" dataDxfId="2"/>
    <tableColumn id="2" xr3:uid="{00000000-0010-0000-0000-000002000000}" name="Data" dataDxfId="1"/>
    <tableColumn id="3" xr3:uid="{00000000-0010-0000-0000-000003000000}" name="%" dataDxfId="0" dataCellStyle="Percent">
      <calculatedColumnFormula>C5/C$25</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6"/>
  <sheetViews>
    <sheetView showGridLines="0" tabSelected="1" workbookViewId="0"/>
  </sheetViews>
  <sheetFormatPr defaultRowHeight="14.4"/>
  <cols>
    <col min="1" max="1" width="3.44140625" customWidth="1"/>
    <col min="2" max="2" width="26.21875" customWidth="1"/>
    <col min="3" max="3" width="10.5546875" customWidth="1"/>
    <col min="4" max="4" width="8.44140625" customWidth="1"/>
    <col min="5" max="5" width="12.33203125" customWidth="1"/>
    <col min="6" max="6" width="6.21875" customWidth="1"/>
    <col min="15" max="15" width="10.44140625" customWidth="1"/>
  </cols>
  <sheetData>
    <row r="1" spans="1:16" ht="39" customHeight="1">
      <c r="A1" s="2"/>
      <c r="B1" s="42" t="s">
        <v>0</v>
      </c>
      <c r="C1" s="42"/>
      <c r="D1" s="42"/>
      <c r="E1" s="42"/>
      <c r="F1" s="42"/>
      <c r="G1" s="42"/>
      <c r="H1" s="42"/>
      <c r="I1" s="42"/>
      <c r="J1" s="42"/>
      <c r="K1" s="42"/>
      <c r="L1" s="42"/>
      <c r="M1" s="42"/>
      <c r="N1" s="42"/>
      <c r="O1" s="42"/>
    </row>
    <row r="2" spans="1:16" ht="21" customHeight="1">
      <c r="A2" s="2"/>
      <c r="B2" s="3" t="s">
        <v>23</v>
      </c>
      <c r="C2" s="40">
        <v>0.7</v>
      </c>
      <c r="D2" s="41"/>
      <c r="E2" s="2"/>
      <c r="F2" s="2"/>
      <c r="G2" s="28"/>
      <c r="H2" s="3" t="s">
        <v>27</v>
      </c>
      <c r="I2" s="43" t="s">
        <v>28</v>
      </c>
      <c r="J2" s="44"/>
      <c r="K2" s="45"/>
      <c r="L2" s="2"/>
      <c r="M2" s="2"/>
      <c r="N2" s="2"/>
      <c r="O2" s="2"/>
      <c r="P2" s="11" t="s">
        <v>39</v>
      </c>
    </row>
    <row r="3" spans="1:16" ht="15" thickBot="1">
      <c r="A3" s="2"/>
      <c r="B3" s="2"/>
      <c r="C3" s="2"/>
      <c r="D3" s="2"/>
      <c r="E3" s="2"/>
      <c r="F3" s="2"/>
      <c r="G3" s="2"/>
      <c r="H3" s="2"/>
      <c r="I3" s="2"/>
      <c r="J3" s="2"/>
      <c r="K3" s="2"/>
      <c r="L3" s="2"/>
      <c r="M3" s="2"/>
      <c r="N3" s="2"/>
      <c r="O3" s="2"/>
      <c r="P3" s="11" t="s">
        <v>40</v>
      </c>
    </row>
    <row r="4" spans="1:16" ht="19.2" customHeight="1" thickBot="1">
      <c r="A4" s="12"/>
      <c r="B4" s="20" t="s">
        <v>42</v>
      </c>
      <c r="C4" s="24" t="s">
        <v>1</v>
      </c>
      <c r="D4" s="21" t="s">
        <v>3</v>
      </c>
      <c r="E4" s="22" t="s">
        <v>4</v>
      </c>
      <c r="F4" s="23" t="s">
        <v>15</v>
      </c>
    </row>
    <row r="5" spans="1:16">
      <c r="A5" s="12"/>
      <c r="B5" s="32" t="s">
        <v>14</v>
      </c>
      <c r="C5" s="17">
        <v>45</v>
      </c>
      <c r="D5" s="25">
        <f t="shared" ref="D5:D24" si="0">C5/C$25</f>
        <v>0.30821917808219179</v>
      </c>
      <c r="E5" s="37">
        <f t="shared" ref="E5" si="1">D5</f>
        <v>0.30821917808219179</v>
      </c>
      <c r="F5" s="29">
        <f t="shared" ref="F5:F11" si="2">IF(ISBLANK(E5),"",C$2)</f>
        <v>0.7</v>
      </c>
    </row>
    <row r="6" spans="1:16">
      <c r="A6" s="12"/>
      <c r="B6" s="33" t="s">
        <v>22</v>
      </c>
      <c r="C6" s="18">
        <v>30</v>
      </c>
      <c r="D6" s="26">
        <f t="shared" si="0"/>
        <v>0.20547945205479451</v>
      </c>
      <c r="E6" s="38">
        <f t="shared" ref="E6:E8" si="3">E5+D6</f>
        <v>0.51369863013698636</v>
      </c>
      <c r="F6" s="30">
        <f t="shared" si="2"/>
        <v>0.7</v>
      </c>
    </row>
    <row r="7" spans="1:16">
      <c r="A7" s="13"/>
      <c r="B7" s="33" t="s">
        <v>13</v>
      </c>
      <c r="C7" s="18">
        <v>20</v>
      </c>
      <c r="D7" s="26">
        <f t="shared" si="0"/>
        <v>0.13698630136986301</v>
      </c>
      <c r="E7" s="38">
        <f t="shared" si="3"/>
        <v>0.65068493150684936</v>
      </c>
      <c r="F7" s="30">
        <f t="shared" si="2"/>
        <v>0.7</v>
      </c>
    </row>
    <row r="8" spans="1:16">
      <c r="A8" s="14"/>
      <c r="B8" s="33" t="s">
        <v>21</v>
      </c>
      <c r="C8" s="18">
        <v>15</v>
      </c>
      <c r="D8" s="26">
        <f t="shared" si="0"/>
        <v>0.10273972602739725</v>
      </c>
      <c r="E8" s="38">
        <f t="shared" si="3"/>
        <v>0.75342465753424659</v>
      </c>
      <c r="F8" s="30">
        <f t="shared" si="2"/>
        <v>0.7</v>
      </c>
    </row>
    <row r="9" spans="1:16">
      <c r="A9" s="12"/>
      <c r="B9" s="33" t="s">
        <v>12</v>
      </c>
      <c r="C9" s="18">
        <v>10</v>
      </c>
      <c r="D9" s="26">
        <f t="shared" si="0"/>
        <v>6.8493150684931503E-2</v>
      </c>
      <c r="E9" s="38">
        <f>E8+D9</f>
        <v>0.82191780821917804</v>
      </c>
      <c r="F9" s="30">
        <f t="shared" si="2"/>
        <v>0.7</v>
      </c>
    </row>
    <row r="10" spans="1:16">
      <c r="B10" s="33" t="s">
        <v>9</v>
      </c>
      <c r="C10" s="18">
        <v>5</v>
      </c>
      <c r="D10" s="26">
        <f t="shared" si="0"/>
        <v>3.4246575342465752E-2</v>
      </c>
      <c r="E10" s="38">
        <f>E9+D10</f>
        <v>0.85616438356164382</v>
      </c>
      <c r="F10" s="30">
        <f t="shared" si="2"/>
        <v>0.7</v>
      </c>
      <c r="P10" s="10" t="s">
        <v>37</v>
      </c>
    </row>
    <row r="11" spans="1:16">
      <c r="B11" s="33" t="s">
        <v>20</v>
      </c>
      <c r="C11" s="18">
        <v>4</v>
      </c>
      <c r="D11" s="26">
        <f t="shared" si="0"/>
        <v>2.7397260273972601E-2</v>
      </c>
      <c r="E11" s="38">
        <f t="shared" ref="E11" si="4">E10+D11</f>
        <v>0.88356164383561642</v>
      </c>
      <c r="F11" s="30">
        <f t="shared" si="2"/>
        <v>0.7</v>
      </c>
      <c r="P11" s="11" t="s">
        <v>38</v>
      </c>
    </row>
    <row r="12" spans="1:16">
      <c r="B12" s="33" t="s">
        <v>11</v>
      </c>
      <c r="C12" s="18">
        <v>3</v>
      </c>
      <c r="D12" s="26">
        <f t="shared" si="0"/>
        <v>2.0547945205479451E-2</v>
      </c>
      <c r="E12" s="38">
        <f t="shared" ref="E12:E17" si="5">E11+D12</f>
        <v>0.90410958904109584</v>
      </c>
      <c r="F12" s="30">
        <f t="shared" ref="F12:F17" si="6">IF(ISBLANK(E12),"",C$2)</f>
        <v>0.7</v>
      </c>
      <c r="P12" s="11" t="s">
        <v>45</v>
      </c>
    </row>
    <row r="13" spans="1:16">
      <c r="B13" s="33" t="s">
        <v>19</v>
      </c>
      <c r="C13" s="18">
        <v>2</v>
      </c>
      <c r="D13" s="26">
        <f t="shared" si="0"/>
        <v>1.3698630136986301E-2</v>
      </c>
      <c r="E13" s="38">
        <f t="shared" si="5"/>
        <v>0.91780821917808209</v>
      </c>
      <c r="F13" s="30">
        <f t="shared" si="6"/>
        <v>0.7</v>
      </c>
      <c r="P13" s="11" t="s">
        <v>44</v>
      </c>
    </row>
    <row r="14" spans="1:16">
      <c r="B14" s="33" t="s">
        <v>10</v>
      </c>
      <c r="C14" s="18">
        <v>2</v>
      </c>
      <c r="D14" s="26">
        <f t="shared" si="0"/>
        <v>1.3698630136986301E-2</v>
      </c>
      <c r="E14" s="38">
        <f t="shared" si="5"/>
        <v>0.93150684931506844</v>
      </c>
      <c r="F14" s="30">
        <f t="shared" si="6"/>
        <v>0.7</v>
      </c>
    </row>
    <row r="15" spans="1:16">
      <c r="B15" s="33" t="s">
        <v>18</v>
      </c>
      <c r="C15" s="18">
        <v>2</v>
      </c>
      <c r="D15" s="26">
        <f t="shared" si="0"/>
        <v>1.3698630136986301E-2</v>
      </c>
      <c r="E15" s="38">
        <f>E14+D15</f>
        <v>0.9452054794520548</v>
      </c>
      <c r="F15" s="30">
        <f t="shared" si="6"/>
        <v>0.7</v>
      </c>
    </row>
    <row r="16" spans="1:16">
      <c r="B16" s="33" t="s">
        <v>9</v>
      </c>
      <c r="C16" s="18">
        <v>1</v>
      </c>
      <c r="D16" s="26">
        <f t="shared" si="0"/>
        <v>6.8493150684931503E-3</v>
      </c>
      <c r="E16" s="38">
        <f t="shared" si="5"/>
        <v>0.95205479452054798</v>
      </c>
      <c r="F16" s="30">
        <f t="shared" si="6"/>
        <v>0.7</v>
      </c>
    </row>
    <row r="17" spans="2:6">
      <c r="B17" s="33" t="s">
        <v>8</v>
      </c>
      <c r="C17" s="18">
        <v>1</v>
      </c>
      <c r="D17" s="26">
        <f t="shared" si="0"/>
        <v>6.8493150684931503E-3</v>
      </c>
      <c r="E17" s="38">
        <f t="shared" si="5"/>
        <v>0.95890410958904115</v>
      </c>
      <c r="F17" s="30">
        <f t="shared" si="6"/>
        <v>0.7</v>
      </c>
    </row>
    <row r="18" spans="2:6">
      <c r="B18" s="33" t="s">
        <v>6</v>
      </c>
      <c r="C18" s="18">
        <v>1</v>
      </c>
      <c r="D18" s="26">
        <f t="shared" si="0"/>
        <v>6.8493150684931503E-3</v>
      </c>
      <c r="E18" s="38">
        <f t="shared" ref="E18:E21" si="7">E17+D18</f>
        <v>0.96575342465753433</v>
      </c>
      <c r="F18" s="30">
        <f t="shared" ref="F18:F21" si="8">IF(ISBLANK(E18),"",C$2)</f>
        <v>0.7</v>
      </c>
    </row>
    <row r="19" spans="2:6">
      <c r="B19" s="33" t="s">
        <v>12</v>
      </c>
      <c r="C19" s="18">
        <v>1</v>
      </c>
      <c r="D19" s="26">
        <f t="shared" si="0"/>
        <v>6.8493150684931503E-3</v>
      </c>
      <c r="E19" s="38">
        <f>E18+D19</f>
        <v>0.97260273972602751</v>
      </c>
      <c r="F19" s="30">
        <f t="shared" si="8"/>
        <v>0.7</v>
      </c>
    </row>
    <row r="20" spans="2:6">
      <c r="B20" s="33" t="s">
        <v>5</v>
      </c>
      <c r="C20" s="18">
        <v>1</v>
      </c>
      <c r="D20" s="26">
        <f t="shared" si="0"/>
        <v>6.8493150684931503E-3</v>
      </c>
      <c r="E20" s="38">
        <f t="shared" si="7"/>
        <v>0.97945205479452069</v>
      </c>
      <c r="F20" s="30">
        <f t="shared" si="8"/>
        <v>0.7</v>
      </c>
    </row>
    <row r="21" spans="2:6">
      <c r="B21" s="33" t="s">
        <v>11</v>
      </c>
      <c r="C21" s="18">
        <v>1</v>
      </c>
      <c r="D21" s="26">
        <f t="shared" si="0"/>
        <v>6.8493150684931503E-3</v>
      </c>
      <c r="E21" s="38">
        <f t="shared" si="7"/>
        <v>0.98630136986301387</v>
      </c>
      <c r="F21" s="30">
        <f t="shared" si="8"/>
        <v>0.7</v>
      </c>
    </row>
    <row r="22" spans="2:6">
      <c r="B22" s="33" t="s">
        <v>7</v>
      </c>
      <c r="C22" s="18">
        <v>1</v>
      </c>
      <c r="D22" s="26">
        <f t="shared" si="0"/>
        <v>6.8493150684931503E-3</v>
      </c>
      <c r="E22" s="38">
        <f>E21+D22</f>
        <v>0.99315068493150704</v>
      </c>
      <c r="F22" s="30">
        <f t="shared" ref="F22:F24" si="9">IF(ISBLANK(E22),"",C$2)</f>
        <v>0.7</v>
      </c>
    </row>
    <row r="23" spans="2:6">
      <c r="B23" s="34" t="s">
        <v>16</v>
      </c>
      <c r="C23" s="19">
        <v>1</v>
      </c>
      <c r="D23" s="27">
        <f t="shared" si="0"/>
        <v>6.8493150684931503E-3</v>
      </c>
      <c r="E23" s="38">
        <f t="shared" ref="E23:E24" si="10">E22+D23</f>
        <v>1.0000000000000002</v>
      </c>
      <c r="F23" s="30">
        <f t="shared" si="9"/>
        <v>0.7</v>
      </c>
    </row>
    <row r="24" spans="2:6" ht="15" thickBot="1">
      <c r="B24" s="33"/>
      <c r="C24" s="18"/>
      <c r="D24" s="26">
        <f t="shared" si="0"/>
        <v>0</v>
      </c>
      <c r="E24" s="39">
        <f t="shared" si="10"/>
        <v>1.0000000000000002</v>
      </c>
      <c r="F24" s="31">
        <f t="shared" si="9"/>
        <v>0.7</v>
      </c>
    </row>
    <row r="25" spans="2:6">
      <c r="B25" s="15" t="s">
        <v>2</v>
      </c>
      <c r="C25" s="35">
        <f>SUM(C5:C24)</f>
        <v>146</v>
      </c>
      <c r="D25" s="36">
        <f>SUM(D5:D24)</f>
        <v>1.0000000000000002</v>
      </c>
      <c r="E25" s="16"/>
      <c r="F25" s="16"/>
    </row>
    <row r="26" spans="2:6">
      <c r="B26" s="16"/>
      <c r="C26" s="16"/>
      <c r="D26" s="16"/>
    </row>
    <row r="28" spans="2:6">
      <c r="C28" s="1" t="s">
        <v>24</v>
      </c>
    </row>
    <row r="29" spans="2:6">
      <c r="B29" s="1">
        <v>1</v>
      </c>
      <c r="C29" t="s">
        <v>29</v>
      </c>
    </row>
    <row r="30" spans="2:6">
      <c r="B30" s="1">
        <v>2</v>
      </c>
      <c r="C30" t="s">
        <v>30</v>
      </c>
    </row>
    <row r="31" spans="2:6">
      <c r="B31" s="1">
        <v>3</v>
      </c>
      <c r="C31" t="s">
        <v>43</v>
      </c>
    </row>
    <row r="32" spans="2:6">
      <c r="B32" s="1">
        <v>4</v>
      </c>
      <c r="C32" t="s">
        <v>17</v>
      </c>
    </row>
    <row r="33" spans="2:3">
      <c r="B33" s="1">
        <v>5</v>
      </c>
      <c r="C33" t="s">
        <v>25</v>
      </c>
    </row>
    <row r="34" spans="2:3">
      <c r="B34" s="1">
        <v>6</v>
      </c>
      <c r="C34" t="s">
        <v>26</v>
      </c>
    </row>
    <row r="35" spans="2:3">
      <c r="B35" s="1">
        <v>7</v>
      </c>
      <c r="C35" t="s">
        <v>46</v>
      </c>
    </row>
    <row r="36" spans="2:3">
      <c r="B36" s="1">
        <v>8</v>
      </c>
      <c r="C36" t="s">
        <v>47</v>
      </c>
    </row>
  </sheetData>
  <mergeCells count="3">
    <mergeCell ref="C2:D2"/>
    <mergeCell ref="B1:O1"/>
    <mergeCell ref="I2:K2"/>
  </mergeCells>
  <pageMargins left="0.7" right="0.7" top="0.75" bottom="0.75" header="0.3" footer="0.3"/>
  <pageSetup paperSize="9" scale="85" orientation="landscape" horizontalDpi="4294967293"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workbookViewId="0"/>
  </sheetViews>
  <sheetFormatPr defaultRowHeight="14.4"/>
  <cols>
    <col min="1" max="1" width="3.33203125" customWidth="1"/>
    <col min="2" max="2" width="68" customWidth="1"/>
    <col min="3" max="3" width="13.5546875" customWidth="1"/>
  </cols>
  <sheetData>
    <row r="1" spans="1:3" ht="35.4" customHeight="1">
      <c r="A1" s="4"/>
      <c r="B1" s="5" t="s">
        <v>36</v>
      </c>
      <c r="C1" s="4"/>
    </row>
    <row r="2" spans="1:3" ht="15">
      <c r="A2" s="6"/>
      <c r="B2" s="6"/>
      <c r="C2" s="7"/>
    </row>
    <row r="3" spans="1:3" ht="19.2" customHeight="1">
      <c r="A3" s="6"/>
      <c r="B3" s="6" t="s">
        <v>48</v>
      </c>
      <c r="C3" s="7"/>
    </row>
    <row r="4" spans="1:3" ht="15">
      <c r="A4" s="6"/>
      <c r="B4" s="6"/>
      <c r="C4" s="7"/>
    </row>
    <row r="5" spans="1:3" ht="45">
      <c r="A5" s="6"/>
      <c r="B5" s="8" t="s">
        <v>31</v>
      </c>
      <c r="C5" s="7"/>
    </row>
    <row r="6" spans="1:3" ht="15">
      <c r="A6" s="6"/>
      <c r="B6" s="6"/>
      <c r="C6" s="7"/>
    </row>
    <row r="7" spans="1:3" ht="30">
      <c r="A7" s="6"/>
      <c r="B7" s="8" t="s">
        <v>32</v>
      </c>
      <c r="C7" s="7"/>
    </row>
    <row r="8" spans="1:3" ht="15">
      <c r="A8" s="6"/>
      <c r="B8" s="6"/>
      <c r="C8" s="7"/>
    </row>
    <row r="9" spans="1:3" ht="45.6">
      <c r="A9" s="6"/>
      <c r="B9" s="8" t="s">
        <v>33</v>
      </c>
      <c r="C9" s="7"/>
    </row>
    <row r="10" spans="1:3" ht="15">
      <c r="A10" s="6"/>
      <c r="B10" s="6"/>
      <c r="C10" s="7"/>
    </row>
    <row r="11" spans="1:3" ht="15">
      <c r="A11" s="6"/>
      <c r="B11" s="6" t="s">
        <v>41</v>
      </c>
      <c r="C11" s="7"/>
    </row>
    <row r="12" spans="1:3" ht="15">
      <c r="A12" s="6"/>
      <c r="B12" s="6"/>
      <c r="C12" s="7"/>
    </row>
    <row r="13" spans="1:3" ht="24" customHeight="1" thickBot="1">
      <c r="A13" s="6"/>
      <c r="B13" s="9" t="s">
        <v>34</v>
      </c>
      <c r="C13" s="7"/>
    </row>
    <row r="14" spans="1:3" ht="15">
      <c r="A14" s="6"/>
      <c r="B14" s="6"/>
      <c r="C14" s="7"/>
    </row>
    <row r="15" spans="1:3" ht="90">
      <c r="A15" s="6"/>
      <c r="B15" s="8" t="s">
        <v>35</v>
      </c>
      <c r="C15" s="7"/>
    </row>
    <row r="16" spans="1:3" ht="15">
      <c r="A16" s="6"/>
      <c r="B16" s="6"/>
      <c r="C16" s="7"/>
    </row>
    <row r="17" spans="1:3" ht="15">
      <c r="A17" s="6"/>
      <c r="B17" s="6"/>
      <c r="C17" s="7"/>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Pareto Chart</vt:lpstr>
      <vt:lpstr>©</vt:lpstr>
      <vt:lpstr>OptionAndData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McLachlan</dc:creator>
  <cp:lastModifiedBy>David McLachlan</cp:lastModifiedBy>
  <dcterms:created xsi:type="dcterms:W3CDTF">2024-03-13T02:03:12Z</dcterms:created>
  <dcterms:modified xsi:type="dcterms:W3CDTF">2024-03-13T02:20:57Z</dcterms:modified>
</cp:coreProperties>
</file>