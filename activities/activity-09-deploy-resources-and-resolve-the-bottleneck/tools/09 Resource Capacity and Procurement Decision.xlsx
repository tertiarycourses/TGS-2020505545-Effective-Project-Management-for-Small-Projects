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" sheetId="1" state="visible" r:id="rId1"/>
    <sheet xmlns:r="http://schemas.openxmlformats.org/officeDocument/2006/relationships" name="Procurement Decision" sheetId="2" state="visible" r:id="rId2"/>
    <sheet xmlns:r="http://schemas.openxmlformats.org/officeDocument/2006/relationships" name="Options" sheetId="3" state="visible" r:id="rId3"/>
  </sheets>
  <definedNames>
    <definedName name="_xlnm._FilterDatabase" localSheetId="0" hidden="1">'Capacity'!$A$3:$F$3</definedName>
    <definedName name="_xlnm._FilterDatabase" localSheetId="1" hidden="1">'Procurement Decision'!$A$3:$E$3</definedName>
    <definedName name="_xlnm._FilterDatabase" localSheetId="2" hidden="1">'Options'!$A$3:$F$3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F6B7A"/>
      <sz val="9"/>
    </font>
    <font>
      <name val="Arial"/>
      <b val="1"/>
      <color rgb="00FFFFFF"/>
    </font>
    <font>
      <name val="Arial"/>
      <color rgb="000000FF"/>
      <sz val="10"/>
    </font>
    <font>
      <name val="Arial"/>
      <color rgb="00131B2A"/>
      <sz val="10"/>
    </font>
  </fonts>
  <fills count="5">
    <fill>
      <patternFill/>
    </fill>
    <fill>
      <patternFill patternType="gray125"/>
    </fill>
    <fill>
      <patternFill patternType="solid">
        <fgColor rgb="001655D1"/>
      </patternFill>
    </fill>
    <fill>
      <patternFill patternType="solid">
        <fgColor rgb="000F9D8A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bottom style="thin">
        <color rgb="00DA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Resource Capacity by Skill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Role</t>
        </is>
      </c>
      <c r="B3" s="3" t="inlineStr">
        <is>
          <t>Available person-days</t>
        </is>
      </c>
      <c r="C3" s="3" t="inlineStr">
        <is>
          <t>Demand person-days</t>
        </is>
      </c>
      <c r="D3" s="3" t="inlineStr">
        <is>
          <t>Gap</t>
        </is>
      </c>
      <c r="E3" s="3" t="inlineStr">
        <is>
          <t>Critical skill?</t>
        </is>
      </c>
      <c r="F3" s="3" t="inlineStr">
        <is>
          <t>Decision</t>
        </is>
      </c>
    </row>
    <row r="4">
      <c r="A4" s="4" t="inlineStr">
        <is>
          <t>Business Analyst</t>
        </is>
      </c>
      <c r="B4" s="4" t="n">
        <v>6</v>
      </c>
      <c r="C4" s="4" t="n">
        <v>12</v>
      </c>
      <c r="D4" s="5">
        <f>B4-C4</f>
        <v/>
      </c>
      <c r="E4" s="4" t="inlineStr">
        <is>
          <t>Yes</t>
        </is>
      </c>
      <c r="F4" s="4" t="inlineStr">
        <is>
          <t>Resolve constraint</t>
        </is>
      </c>
    </row>
    <row r="5">
      <c r="A5" s="6" t="inlineStr">
        <is>
          <t>QA Lead</t>
        </is>
      </c>
      <c r="B5" s="6" t="n">
        <v>10</v>
      </c>
      <c r="C5" s="6" t="n">
        <v>8</v>
      </c>
      <c r="D5" s="7">
        <f>B5-C5</f>
        <v/>
      </c>
      <c r="E5" s="6" t="inlineStr">
        <is>
          <t>Yes</t>
        </is>
      </c>
      <c r="F5" s="6" t="inlineStr">
        <is>
          <t>Available</t>
        </is>
      </c>
    </row>
    <row r="6">
      <c r="A6" s="4" t="inlineStr">
        <is>
          <t>Operations Lead</t>
        </is>
      </c>
      <c r="B6" s="4" t="n">
        <v>8</v>
      </c>
      <c r="C6" s="4" t="n">
        <v>8</v>
      </c>
      <c r="D6" s="5">
        <f>B6-C6</f>
        <v/>
      </c>
      <c r="E6" s="4" t="inlineStr">
        <is>
          <t>Yes</t>
        </is>
      </c>
      <c r="F6" s="4" t="inlineStr">
        <is>
          <t>At capacity</t>
        </is>
      </c>
    </row>
    <row r="7">
      <c r="A7" s="6" t="inlineStr">
        <is>
          <t>Trainer</t>
        </is>
      </c>
      <c r="B7" s="6" t="n">
        <v>6</v>
      </c>
      <c r="C7" s="6" t="n">
        <v>6</v>
      </c>
      <c r="D7" s="7">
        <f>B7-C7</f>
        <v/>
      </c>
      <c r="E7" s="6" t="inlineStr">
        <is>
          <t>No</t>
        </is>
      </c>
      <c r="F7" s="6" t="inlineStr">
        <is>
          <t>At capacity</t>
        </is>
      </c>
    </row>
    <row r="8">
      <c r="A8" s="4" t="inlineStr">
        <is>
          <t>Vendor Lead</t>
        </is>
      </c>
      <c r="B8" s="4" t="n">
        <v>8</v>
      </c>
      <c r="C8" s="4" t="n">
        <v>8</v>
      </c>
      <c r="D8" s="5">
        <f>B8-C8</f>
        <v/>
      </c>
      <c r="E8" s="4" t="inlineStr">
        <is>
          <t>Yes</t>
        </is>
      </c>
      <c r="F8" s="4" t="inlineStr">
        <is>
          <t>At capacity</t>
        </is>
      </c>
    </row>
  </sheetData>
  <autoFilter ref="A3:F3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1" t="inlineStr">
        <is>
          <t>Make or Buy Analysis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Criterion</t>
        </is>
      </c>
      <c r="B3" s="3" t="inlineStr">
        <is>
          <t>Weight</t>
        </is>
      </c>
      <c r="C3" s="3" t="inlineStr">
        <is>
          <t>Internal score</t>
        </is>
      </c>
      <c r="D3" s="3" t="inlineStr">
        <is>
          <t>Contract score</t>
        </is>
      </c>
      <c r="E3" s="3" t="inlineStr">
        <is>
          <t>Rationale</t>
        </is>
      </c>
    </row>
    <row r="4">
      <c r="A4" s="4" t="inlineStr">
        <is>
          <t>Cost</t>
        </is>
      </c>
      <c r="B4" s="8" t="n">
        <v>0.25</v>
      </c>
      <c r="C4" s="4" t="n">
        <v>4</v>
      </c>
      <c r="D4" s="4" t="n">
        <v>3</v>
      </c>
      <c r="E4" s="4" t="inlineStr">
        <is>
          <t>1 low to 5 high</t>
        </is>
      </c>
    </row>
    <row r="5">
      <c r="A5" s="6" t="inlineStr">
        <is>
          <t>Lead time</t>
        </is>
      </c>
      <c r="B5" s="9" t="n">
        <v>0.25</v>
      </c>
      <c r="C5" s="6" t="n">
        <v>2</v>
      </c>
      <c r="D5" s="6" t="n">
        <v>5</v>
      </c>
      <c r="E5" s="6" t="inlineStr">
        <is>
          <t>Constraint is immediate</t>
        </is>
      </c>
    </row>
    <row r="6">
      <c r="A6" s="4" t="inlineStr">
        <is>
          <t>Quality</t>
        </is>
      </c>
      <c r="B6" s="8" t="n">
        <v>0.2</v>
      </c>
      <c r="C6" s="4" t="n">
        <v>4</v>
      </c>
      <c r="D6" s="4" t="n">
        <v>4</v>
      </c>
      <c r="E6" s="4" t="inlineStr">
        <is>
          <t>Both require review</t>
        </is>
      </c>
    </row>
    <row r="7">
      <c r="A7" s="6" t="inlineStr">
        <is>
          <t>Interface knowledge</t>
        </is>
      </c>
      <c r="B7" s="9" t="n">
        <v>0.15</v>
      </c>
      <c r="C7" s="6" t="n">
        <v>5</v>
      </c>
      <c r="D7" s="6" t="n">
        <v>3</v>
      </c>
      <c r="E7" s="6" t="inlineStr">
        <is>
          <t>Internal advantage</t>
        </is>
      </c>
    </row>
    <row r="8">
      <c r="A8" s="4" t="inlineStr">
        <is>
          <t>Knowledge transfer</t>
        </is>
      </c>
      <c r="B8" s="8" t="n">
        <v>0.15</v>
      </c>
      <c r="C8" s="4" t="n">
        <v>5</v>
      </c>
      <c r="D8" s="4" t="n">
        <v>2</v>
      </c>
      <c r="E8" s="4" t="inlineStr">
        <is>
          <t>Contract needs handover</t>
        </is>
      </c>
    </row>
    <row r="9">
      <c r="A9" s="6" t="inlineStr">
        <is>
          <t>Weighted total</t>
        </is>
      </c>
      <c r="B9" s="7">
        <f>SUM(B4:B8)</f>
        <v/>
      </c>
      <c r="C9" s="7">
        <f>SUMPRODUCT($B$4:$B$8,C4:C8)</f>
        <v/>
      </c>
      <c r="D9" s="7">
        <f>SUMPRODUCT($B$4:$B$8,D4:D8)</f>
        <v/>
      </c>
      <c r="E9" s="6" t="inlineStr">
        <is>
          <t>Compare with schedule impact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Resource Optimisation Options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Option</t>
        </is>
      </c>
      <c r="B3" s="3" t="inlineStr">
        <is>
          <t>Finish effect days</t>
        </is>
      </c>
      <c r="C3" s="3" t="inlineStr">
        <is>
          <t>Incremental cost SGD</t>
        </is>
      </c>
      <c r="D3" s="3" t="inlineStr">
        <is>
          <t>New risk</t>
        </is>
      </c>
      <c r="E3" s="3" t="inlineStr">
        <is>
          <t>Feasible?</t>
        </is>
      </c>
      <c r="F3" s="3" t="inlineStr">
        <is>
          <t>Recommendation rationale</t>
        </is>
      </c>
    </row>
    <row r="4">
      <c r="A4" s="4" t="inlineStr">
        <is>
          <t>Smoothing</t>
        </is>
      </c>
      <c r="B4" s="4" t="n">
        <v>0</v>
      </c>
      <c r="C4" s="4" t="n">
        <v>0</v>
      </c>
      <c r="D4" s="4" t="inlineStr">
        <is>
          <t>Uses float</t>
        </is>
      </c>
      <c r="E4" s="4" t="inlineStr">
        <is>
          <t>Yes</t>
        </is>
      </c>
      <c r="F4" s="4" t="inlineStr"/>
    </row>
    <row r="5">
      <c r="A5" s="6" t="inlineStr">
        <is>
          <t>Levelling</t>
        </is>
      </c>
      <c r="B5" s="6" t="n">
        <v>8</v>
      </c>
      <c r="C5" s="6" t="n">
        <v>0</v>
      </c>
      <c r="D5" s="6" t="inlineStr">
        <is>
          <t>Launch delay</t>
        </is>
      </c>
      <c r="E5" s="6" t="inlineStr">
        <is>
          <t>Yes</t>
        </is>
      </c>
      <c r="F5" s="6" t="inlineStr"/>
    </row>
    <row r="6">
      <c r="A6" s="4" t="inlineStr">
        <is>
          <t>Crashing</t>
        </is>
      </c>
      <c r="B6" s="4" t="n">
        <v>-6</v>
      </c>
      <c r="C6" s="4" t="n">
        <v>9000</v>
      </c>
      <c r="D6" s="4" t="inlineStr">
        <is>
          <t>Onboarding and quality</t>
        </is>
      </c>
      <c r="E6" s="4" t="inlineStr">
        <is>
          <t>Yes</t>
        </is>
      </c>
      <c r="F6" s="4" t="inlineStr"/>
    </row>
    <row r="7">
      <c r="A7" s="6" t="inlineStr">
        <is>
          <t>Fast tracking</t>
        </is>
      </c>
      <c r="B7" s="6" t="n">
        <v>-4</v>
      </c>
      <c r="C7" s="6" t="n">
        <v>0</v>
      </c>
      <c r="D7" s="6" t="inlineStr">
        <is>
          <t>Rework</t>
        </is>
      </c>
      <c r="E7" s="6" t="inlineStr">
        <is>
          <t>Review</t>
        </is>
      </c>
      <c r="F7" s="6" t="inlineStr"/>
    </row>
  </sheetData>
  <autoFilter ref="A3:F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2026-08-19T14:20:11Z</dcterms:created>
  <dcterms:modified xmlns:dcterms="http://purl.org/dc/terms/" xmlns:xsi="http://www.w3.org/2001/XMLSchema-instance" xsi:type="dcterms:W3CDTF">2026-08-19T14:20:11Z</dcterms:modified>
</cp:coreProperties>
</file>