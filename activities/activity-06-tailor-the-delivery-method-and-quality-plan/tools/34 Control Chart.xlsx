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80EE7AD0-469A-45D5-95C0-1BFB8C2DDDB5}" xr6:coauthVersionLast="47" xr6:coauthVersionMax="47" xr10:uidLastSave="{00000000-0000-0000-0000-000000000000}"/>
  <bookViews>
    <workbookView xWindow="-108" yWindow="-108" windowWidth="23256" windowHeight="12576" xr2:uid="{00000000-000D-0000-FFFF-FFFF00000000}"/>
  </bookViews>
  <sheets>
    <sheet name="Control Chart" sheetId="1" r:id="rId1"/>
    <sheet name="©" sheetId="2" r:id="rId2"/>
  </sheets>
  <definedNames>
    <definedName name="_xlnm.Print_Area" localSheetId="0">'Control Chart'!$A$1:$R$45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1" l="1"/>
  <c r="D32" i="1" s="1"/>
  <c r="D30" i="1"/>
  <c r="B21" i="1"/>
  <c r="B22" i="1" s="1"/>
  <c r="B6" i="1"/>
  <c r="E8" i="1"/>
  <c r="E20" i="1" l="1"/>
  <c r="B23" i="1"/>
  <c r="E26" i="1"/>
  <c r="E24" i="1"/>
  <c r="E22" i="1"/>
  <c r="E27" i="1"/>
  <c r="E25" i="1"/>
  <c r="E23" i="1"/>
  <c r="E21" i="1"/>
  <c r="D33" i="1"/>
  <c r="G24" i="1" s="1"/>
  <c r="B7" i="1"/>
  <c r="E11" i="1"/>
  <c r="E7" i="1"/>
  <c r="B24" i="1" l="1"/>
  <c r="B27" i="1" s="1"/>
  <c r="B25" i="1"/>
  <c r="B28" i="1" s="1"/>
  <c r="B26" i="1"/>
  <c r="F23" i="1"/>
  <c r="F25" i="1"/>
  <c r="F27" i="1"/>
  <c r="F22" i="1"/>
  <c r="F26" i="1"/>
  <c r="F21" i="1"/>
  <c r="F24" i="1"/>
  <c r="G21" i="1"/>
  <c r="G23" i="1"/>
  <c r="G25" i="1"/>
  <c r="G27" i="1"/>
  <c r="G22" i="1"/>
  <c r="G26" i="1"/>
  <c r="B8" i="1"/>
  <c r="G11" i="1"/>
  <c r="E16" i="1"/>
  <c r="E28" i="1"/>
  <c r="E14" i="1"/>
  <c r="E13" i="1"/>
  <c r="E12" i="1"/>
  <c r="E19" i="1"/>
  <c r="E10" i="1"/>
  <c r="E18" i="1"/>
  <c r="E9" i="1"/>
  <c r="E17" i="1"/>
  <c r="E6" i="1"/>
  <c r="E15" i="1"/>
  <c r="F11" i="1"/>
  <c r="B9" i="1" l="1"/>
  <c r="F8" i="1"/>
  <c r="F7" i="1"/>
  <c r="G8" i="1"/>
  <c r="G7" i="1"/>
  <c r="F20" i="1"/>
  <c r="F12" i="1"/>
  <c r="F18" i="1"/>
  <c r="F9" i="1"/>
  <c r="F17" i="1"/>
  <c r="F6" i="1"/>
  <c r="F16" i="1"/>
  <c r="F15" i="1"/>
  <c r="F28" i="1"/>
  <c r="F14" i="1"/>
  <c r="F13" i="1"/>
  <c r="F19" i="1"/>
  <c r="F10" i="1"/>
  <c r="G28" i="1"/>
  <c r="G14" i="1"/>
  <c r="G13" i="1"/>
  <c r="G20" i="1"/>
  <c r="G12" i="1"/>
  <c r="G19" i="1"/>
  <c r="G10" i="1"/>
  <c r="G18" i="1"/>
  <c r="G9" i="1"/>
  <c r="G17" i="1"/>
  <c r="G6" i="1"/>
  <c r="G16" i="1"/>
  <c r="G15" i="1"/>
  <c r="B10" i="1" l="1"/>
  <c r="B11" i="1" s="1"/>
  <c r="B12" i="1" l="1"/>
  <c r="B13" i="1" l="1"/>
  <c r="B14" i="1" s="1"/>
  <c r="B15" i="1" s="1"/>
  <c r="B16" i="1" l="1"/>
  <c r="B17" i="1" s="1"/>
  <c r="B18" i="1" l="1"/>
  <c r="B19" i="1" s="1"/>
  <c r="B20" i="1" s="1"/>
</calcChain>
</file>

<file path=xl/sharedStrings.xml><?xml version="1.0" encoding="utf-8"?>
<sst xmlns="http://schemas.openxmlformats.org/spreadsheetml/2006/main" count="37" uniqueCount="30">
  <si>
    <t>Guidelines</t>
  </si>
  <si>
    <t>#</t>
  </si>
  <si>
    <t xml:space="preserve"> ►</t>
  </si>
  <si>
    <t>Control Chart</t>
  </si>
  <si>
    <t>Date</t>
  </si>
  <si>
    <t>Value</t>
  </si>
  <si>
    <t>Upper Control Limit</t>
  </si>
  <si>
    <t>Lower Control Limit</t>
  </si>
  <si>
    <t>Data Average</t>
  </si>
  <si>
    <t>Data Standard Deviation</t>
  </si>
  <si>
    <t>UCL</t>
  </si>
  <si>
    <t>LCL</t>
  </si>
  <si>
    <t>AVG</t>
  </si>
  <si>
    <t>Copy your data into the "Date" and "Value" cells only.</t>
  </si>
  <si>
    <t>Right click the table and insert more rows to insert more Data in the table.</t>
  </si>
  <si>
    <t>Numbers will automatically appear next to your data</t>
  </si>
  <si>
    <t>Data Average and Standard Deviation will automatically calculate</t>
  </si>
  <si>
    <t>Drag an existing cell into your newly inserted cells to ensure the existing formulas carry across.</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</si>
  <si>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</si>
  <si>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</si>
  <si>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</si>
  <si>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</si>
  <si>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Control Chart Template</t>
  </si>
  <si>
    <t>Limitation of Liability</t>
  </si>
  <si>
    <t>Do not delete this worksheet.</t>
  </si>
  <si>
    <r>
      <t xml:space="preserve">Upper and Lower Control Limits will populate based on </t>
    </r>
    <r>
      <rPr>
        <b/>
        <sz val="10"/>
        <color theme="1" tint="0.499984740745262"/>
        <rFont val="Calibri"/>
        <family val="2"/>
        <scheme val="minor"/>
      </rPr>
      <t>1 Standard Deviation from the Average</t>
    </r>
    <r>
      <rPr>
        <sz val="10"/>
        <color theme="1" tint="0.499984740745262"/>
        <rFont val="Calibri"/>
        <family val="2"/>
        <scheme val="minor"/>
      </rPr>
      <t>.</t>
    </r>
  </si>
  <si>
    <r>
      <rPr>
        <b/>
        <sz val="10"/>
        <color theme="1" tint="0.499984740745262"/>
        <rFont val="Calibri"/>
        <family val="2"/>
        <scheme val="minor"/>
      </rPr>
      <t>You can insert your own Upper and Lower Control Limits if you wish</t>
    </r>
    <r>
      <rPr>
        <sz val="10"/>
        <color theme="1" tint="0.499984740745262"/>
        <rFont val="Calibri"/>
        <family val="2"/>
        <scheme val="minor"/>
      </rPr>
      <t xml:space="preserve"> - the chart will automatically update.</t>
    </r>
  </si>
  <si>
    <t>Process Name:</t>
  </si>
  <si>
    <t>To change the range of data you see on the chart, select the chart then adjust the coloured boxes around the data table to suit.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</si>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</sst>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sz val="22"/>
      <color theme="0"/>
      <name val="Calibri"/>
      <family val="2"/>
      <scheme val="minor"/>
    </font>
    <font>
      <sz val="12"/>
      <color theme="0"/>
      <name val="Calibri"/>
      <family val="2"/>
      <scheme val="minor"/>
    </font>
    <font>
      <b/>
      <sz val="12"/>
      <color theme="0"/>
      <name val="Calibri"/>
      <family val="2"/>
      <scheme val="minor"/>
    </font>
    <font>
      <sz val="11"/>
      <color theme="1" tint="0.499984740745262"/>
      <name val="Calibri"/>
      <family val="2"/>
      <scheme val="minor"/>
    </font>
    <font>
      <b/>
      <sz val="11"/>
      <color theme="1" tint="0.34998626667073579"/>
      <name val="Calibri"/>
      <family val="2"/>
      <scheme val="minor"/>
    </font>
    <font>
      <sz val="9"/>
      <color theme="1" tint="0.499984740745262"/>
      <name val="Arial"/>
      <family val="2"/>
    </font>
    <font>
      <sz val="10"/>
      <color theme="1" tint="0.499984740745262"/>
      <name val="Calibri"/>
      <family val="2"/>
      <scheme val="minor"/>
    </font>
    <font>
      <sz val="11"/>
      <name val="Calibri"/>
      <family val="2"/>
      <scheme val="minor"/>
    </font>
    <font>
      <sz val="11"/>
      <color theme="0" tint="-4.9989318521683403E-2"/>
      <name val="Calibri"/>
      <family val="2"/>
      <scheme val="minor"/>
    </font>
    <font>
      <sz val="11"/>
      <color theme="3"/>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b/>
      <sz val="11"/>
      <color theme="0"/>
      <name val="Calibri"/>
      <family val="2"/>
      <scheme val="minor"/>
    </font>
    <font>
      <b/>
      <sz val="10"/>
      <color theme="1" tint="0.499984740745262"/>
      <name val="Calibri"/>
      <family val="2"/>
      <scheme val="minor"/>
    </font>
    <font>
      <sz val="11"/>
      <color theme="1" tint="0.249977111117893"/>
      <name val="Calibri"/>
      <family val="2"/>
      <scheme val="minor"/>
    </font>
  </fonts>
  <fills count="8">
    <fill>
      <patternFill patternType="none"/>
    </fill>
    <fill>
      <patternFill patternType="gray125"/>
    </fill>
    <fill>
      <patternFill patternType="solid">
        <fgColor theme="3"/>
        <bgColor indexed="64"/>
      </patternFill>
    </fill>
    <fill>
      <patternFill patternType="solid">
        <fgColor rgb="FF8FB9AB"/>
        <bgColor indexed="64"/>
      </patternFill>
    </fill>
    <fill>
      <patternFill patternType="solid">
        <fgColor rgb="FFD4E4DF"/>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34998626667073579"/>
        <bgColor indexed="64"/>
      </patternFill>
    </fill>
  </fills>
  <borders count="19">
    <border>
      <left/>
      <right/>
      <top/>
      <bottom/>
      <diagonal/>
    </border>
    <border>
      <left style="thin">
        <color indexed="64"/>
      </left>
      <right style="thin">
        <color indexed="64"/>
      </right>
      <top style="medium">
        <color indexed="64"/>
      </top>
      <bottom style="dotted">
        <color theme="1" tint="0.499984740745262"/>
      </bottom>
      <diagonal/>
    </border>
    <border>
      <left style="thin">
        <color indexed="64"/>
      </left>
      <right style="thin">
        <color indexed="64"/>
      </right>
      <top style="dotted">
        <color theme="1" tint="0.499984740745262"/>
      </top>
      <bottom style="dotted">
        <color theme="1" tint="0.499984740745262"/>
      </bottom>
      <diagonal/>
    </border>
    <border>
      <left style="thin">
        <color indexed="64"/>
      </left>
      <right/>
      <top/>
      <bottom/>
      <diagonal/>
    </border>
    <border>
      <left/>
      <right/>
      <top/>
      <bottom style="medium">
        <color indexed="64"/>
      </bottom>
      <diagonal/>
    </border>
    <border>
      <left style="thin">
        <color indexed="64"/>
      </left>
      <right/>
      <top style="medium">
        <color indexed="64"/>
      </top>
      <bottom style="dotted">
        <color theme="0" tint="-0.499984740745262"/>
      </bottom>
      <diagonal/>
    </border>
    <border>
      <left/>
      <right/>
      <top style="medium">
        <color indexed="64"/>
      </top>
      <bottom style="dotted">
        <color theme="0" tint="-0.499984740745262"/>
      </bottom>
      <diagonal/>
    </border>
    <border>
      <left style="thin">
        <color indexed="64"/>
      </left>
      <right/>
      <top style="dotted">
        <color theme="0" tint="-0.499984740745262"/>
      </top>
      <bottom style="dotted">
        <color theme="0" tint="-0.499984740745262"/>
      </bottom>
      <diagonal/>
    </border>
    <border>
      <left/>
      <right/>
      <top style="dotted">
        <color theme="0" tint="-0.499984740745262"/>
      </top>
      <bottom style="dotted">
        <color theme="0" tint="-0.499984740745262"/>
      </bottom>
      <diagonal/>
    </border>
    <border>
      <left/>
      <right style="thin">
        <color indexed="64"/>
      </right>
      <top style="medium">
        <color indexed="64"/>
      </top>
      <bottom style="dotted">
        <color theme="1" tint="0.499984740745262"/>
      </bottom>
      <diagonal/>
    </border>
    <border>
      <left/>
      <right style="thin">
        <color indexed="64"/>
      </right>
      <top style="dotted">
        <color theme="1" tint="0.499984740745262"/>
      </top>
      <bottom style="dotted">
        <color theme="1" tint="0.499984740745262"/>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dotted">
        <color theme="1" tint="0.499984740745262"/>
      </top>
      <bottom/>
      <diagonal/>
    </border>
    <border>
      <left style="thin">
        <color indexed="64"/>
      </left>
      <right style="thin">
        <color indexed="64"/>
      </right>
      <top style="dotted">
        <color theme="1" tint="0.499984740745262"/>
      </top>
      <bottom/>
      <diagonal/>
    </border>
    <border>
      <left style="thin">
        <color indexed="64"/>
      </left>
      <right/>
      <top style="dotted">
        <color theme="0" tint="-0.499984740745262"/>
      </top>
      <bottom/>
      <diagonal/>
    </border>
    <border>
      <left/>
      <right/>
      <top style="dotted">
        <color theme="0" tint="-0.499984740745262"/>
      </top>
      <bottom/>
      <diagonal/>
    </border>
    <border>
      <left/>
      <right/>
      <top/>
      <bottom style="medium">
        <color theme="3"/>
      </bottom>
      <diagonal/>
    </border>
  </borders>
  <cellStyleXfs count="1">
    <xf numFmtId="0" fontId="0" fillId="0" borderId="0"/>
  </cellStyleXfs>
  <cellXfs count="46">
    <xf numFmtId="0" fontId="0" fillId="0" borderId="0" xfId="0"/>
    <xf numFmtId="0" fontId="1" fillId="0" borderId="0" xfId="0" applyFont="1"/>
    <xf numFmtId="0" fontId="0" fillId="2" borderId="0" xfId="0" applyFill="1"/>
    <xf numFmtId="0" fontId="2" fillId="2" borderId="0" xfId="0" applyFont="1" applyFill="1"/>
    <xf numFmtId="0" fontId="3" fillId="2" borderId="0" xfId="0" applyFont="1" applyFill="1"/>
    <xf numFmtId="0" fontId="4" fillId="2" borderId="0" xfId="0" applyFont="1" applyFill="1"/>
    <xf numFmtId="0" fontId="8" fillId="0" borderId="0" xfId="0" applyFont="1"/>
    <xf numFmtId="0" fontId="7" fillId="0" borderId="0" xfId="0" applyFont="1"/>
    <xf numFmtId="0" fontId="9" fillId="0" borderId="0" xfId="0" applyFont="1" applyAlignment="1">
      <alignment horizontal="right"/>
    </xf>
    <xf numFmtId="0" fontId="10" fillId="0" borderId="0" xfId="0" applyFont="1" applyAlignment="1">
      <alignment horizontal="left" vertical="center"/>
    </xf>
    <xf numFmtId="0" fontId="10" fillId="0" borderId="0" xfId="0" applyFont="1"/>
    <xf numFmtId="15" fontId="0" fillId="0" borderId="1" xfId="0" applyNumberFormat="1" applyBorder="1" applyAlignment="1">
      <alignment horizontal="center" vertical="center"/>
    </xf>
    <xf numFmtId="15" fontId="0" fillId="0" borderId="2" xfId="0" applyNumberFormat="1" applyBorder="1" applyAlignment="1">
      <alignment horizontal="center" vertical="center"/>
    </xf>
    <xf numFmtId="2" fontId="0" fillId="0" borderId="0" xfId="0" applyNumberFormat="1"/>
    <xf numFmtId="0" fontId="11" fillId="0" borderId="0" xfId="0" applyFont="1"/>
    <xf numFmtId="0" fontId="11" fillId="0" borderId="0" xfId="0" applyFont="1" applyAlignment="1">
      <alignment horizontal="center"/>
    </xf>
    <xf numFmtId="2" fontId="2" fillId="0" borderId="0" xfId="0" applyNumberFormat="1" applyFont="1"/>
    <xf numFmtId="0" fontId="0" fillId="0" borderId="5" xfId="0" applyBorder="1" applyAlignment="1">
      <alignment horizontal="center" vertical="center"/>
    </xf>
    <xf numFmtId="2" fontId="12" fillId="5" borderId="6" xfId="0" applyNumberFormat="1" applyFont="1" applyFill="1" applyBorder="1"/>
    <xf numFmtId="0" fontId="0" fillId="0" borderId="7" xfId="0" applyBorder="1" applyAlignment="1">
      <alignment horizontal="center" vertical="center"/>
    </xf>
    <xf numFmtId="2" fontId="12" fillId="5" borderId="8" xfId="0" applyNumberFormat="1" applyFont="1" applyFill="1" applyBorder="1"/>
    <xf numFmtId="0" fontId="13" fillId="4" borderId="0" xfId="0" applyFont="1" applyFill="1"/>
    <xf numFmtId="0" fontId="13" fillId="4" borderId="0" xfId="0" applyFont="1" applyFill="1" applyAlignment="1">
      <alignment horizontal="right"/>
    </xf>
    <xf numFmtId="2" fontId="13" fillId="4" borderId="0" xfId="0" applyNumberFormat="1" applyFont="1" applyFill="1"/>
    <xf numFmtId="0" fontId="13" fillId="0" borderId="0" xfId="0" applyFont="1" applyAlignment="1">
      <alignment horizontal="right"/>
    </xf>
    <xf numFmtId="2" fontId="13" fillId="0" borderId="0" xfId="0" applyNumberFormat="1" applyFont="1"/>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2" fontId="12" fillId="5" borderId="17" xfId="0" applyNumberFormat="1" applyFont="1" applyFill="1" applyBorder="1"/>
    <xf numFmtId="0" fontId="14" fillId="2" borderId="0" xfId="0" applyFont="1" applyFill="1"/>
    <xf numFmtId="0" fontId="15" fillId="2" borderId="0" xfId="0" applyFont="1" applyFill="1" applyAlignment="1">
      <alignment vertical="center"/>
    </xf>
    <xf numFmtId="0" fontId="16" fillId="6" borderId="0" xfId="0" applyFont="1" applyFill="1" applyAlignment="1">
      <alignment vertical="center"/>
    </xf>
    <xf numFmtId="0" fontId="17" fillId="6" borderId="0" xfId="0" applyFont="1" applyFill="1" applyAlignment="1">
      <alignment vertical="center"/>
    </xf>
    <xf numFmtId="0" fontId="16" fillId="6" borderId="0" xfId="0" applyFont="1" applyFill="1" applyAlignment="1">
      <alignment vertical="center" wrapText="1"/>
    </xf>
    <xf numFmtId="0" fontId="19" fillId="6" borderId="18" xfId="0" applyFont="1" applyFill="1" applyBorder="1" applyAlignment="1">
      <alignment vertical="center"/>
    </xf>
    <xf numFmtId="0" fontId="1"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4" xfId="0" applyFont="1" applyFill="1" applyBorder="1" applyAlignment="1">
      <alignment horizontal="center" vertical="center"/>
    </xf>
    <xf numFmtId="0" fontId="6" fillId="7" borderId="11" xfId="0" applyFont="1" applyFill="1" applyBorder="1" applyAlignment="1">
      <alignment horizontal="center" vertical="center"/>
    </xf>
    <xf numFmtId="0" fontId="20" fillId="7" borderId="4" xfId="0" applyFont="1" applyFill="1" applyBorder="1" applyAlignment="1">
      <alignment horizontal="left" vertical="center"/>
    </xf>
    <xf numFmtId="0" fontId="6" fillId="7" borderId="4" xfId="0" applyFont="1" applyFill="1" applyBorder="1" applyAlignment="1">
      <alignment horizontal="left" vertical="center"/>
    </xf>
    <xf numFmtId="0" fontId="5" fillId="2" borderId="0" xfId="0" applyFont="1" applyFill="1" applyAlignment="1">
      <alignment horizontal="right" vertical="center" indent="1"/>
    </xf>
    <xf numFmtId="0" fontId="22" fillId="0" borderId="3" xfId="0" applyFont="1" applyBorder="1" applyAlignment="1">
      <alignment horizontal="left" vertical="center" indent="1"/>
    </xf>
    <xf numFmtId="0" fontId="22" fillId="0" borderId="0" xfId="0" applyFont="1" applyAlignment="1">
      <alignment horizontal="left" vertical="center" indent="1"/>
    </xf>
  </cellXfs>
  <cellStyles count="1">
    <cellStyle name="Normal" xfId="0" builtinId="0"/>
  </cellStyles>
  <dxfs count="9">
    <dxf>
      <font>
        <b val="0"/>
        <i val="0"/>
        <strike val="0"/>
        <condense val="0"/>
        <extend val="0"/>
        <outline val="0"/>
        <shadow val="0"/>
        <u val="none"/>
        <vertAlign val="baseline"/>
        <sz val="11"/>
        <color theme="0" tint="-4.9989318521683403E-2"/>
        <name val="Calibri"/>
        <scheme val="minor"/>
      </font>
      <numFmt numFmtId="2" formatCode="0.00"/>
      <fill>
        <patternFill patternType="solid">
          <fgColor indexed="64"/>
          <bgColor theme="0" tint="-4.9989318521683403E-2"/>
        </patternFill>
      </fill>
      <border diagonalUp="0" diagonalDown="0">
        <left/>
        <right/>
        <top style="dotted">
          <color theme="0" tint="-0.499984740745262"/>
        </top>
        <bottom style="dotted">
          <color theme="0" tint="-0.499984740745262"/>
        </bottom>
        <vertical/>
        <horizontal/>
      </border>
    </dxf>
    <dxf>
      <font>
        <b val="0"/>
        <i val="0"/>
        <strike val="0"/>
        <condense val="0"/>
        <extend val="0"/>
        <outline val="0"/>
        <shadow val="0"/>
        <u val="none"/>
        <vertAlign val="baseline"/>
        <sz val="11"/>
        <color theme="0" tint="-4.9989318521683403E-2"/>
        <name val="Calibri"/>
        <scheme val="minor"/>
      </font>
      <numFmt numFmtId="2" formatCode="0.00"/>
      <fill>
        <patternFill patternType="solid">
          <fgColor indexed="64"/>
          <bgColor theme="0" tint="-4.9989318521683403E-2"/>
        </patternFill>
      </fill>
      <border diagonalUp="0" diagonalDown="0">
        <left/>
        <right/>
        <top style="dotted">
          <color theme="0" tint="-0.499984740745262"/>
        </top>
        <bottom style="dotted">
          <color theme="0" tint="-0.499984740745262"/>
        </bottom>
        <vertical/>
        <horizontal/>
      </border>
    </dxf>
    <dxf>
      <font>
        <b val="0"/>
        <i val="0"/>
        <strike val="0"/>
        <condense val="0"/>
        <extend val="0"/>
        <outline val="0"/>
        <shadow val="0"/>
        <u val="none"/>
        <vertAlign val="baseline"/>
        <sz val="11"/>
        <color theme="0" tint="-4.9989318521683403E-2"/>
        <name val="Calibri"/>
        <scheme val="minor"/>
      </font>
      <numFmt numFmtId="2" formatCode="0.00"/>
      <fill>
        <patternFill patternType="solid">
          <fgColor indexed="64"/>
          <bgColor theme="0" tint="-4.9989318521683403E-2"/>
        </patternFill>
      </fill>
      <border diagonalUp="0" diagonalDown="0">
        <left/>
        <right/>
        <top style="dotted">
          <color theme="0" tint="-0.499984740745262"/>
        </top>
        <bottom style="dotted">
          <color theme="0" tint="-0.499984740745262"/>
        </bottom>
        <vertical/>
        <horizontal/>
      </border>
    </dxf>
    <dxf>
      <alignment horizontal="center" vertical="center" textRotation="0" wrapText="0" indent="0" justifyLastLine="0" shrinkToFit="0" readingOrder="0"/>
      <border diagonalUp="0" diagonalDown="0">
        <left style="thin">
          <color indexed="64"/>
        </left>
        <right/>
        <top style="dotted">
          <color theme="0" tint="-0.499984740745262"/>
        </top>
        <bottom style="dotted">
          <color theme="0" tint="-0.499984740745262"/>
        </bottom>
        <vertical/>
        <horizontal/>
      </border>
    </dxf>
    <dxf>
      <numFmt numFmtId="20" formatCode="d\-mmm\-yy"/>
      <alignment horizontal="center" vertical="center" textRotation="0" wrapText="0" indent="0" justifyLastLine="0" shrinkToFit="0" readingOrder="0"/>
      <border diagonalUp="0" diagonalDown="0" outline="0">
        <left style="thin">
          <color indexed="64"/>
        </left>
        <right style="thin">
          <color indexed="64"/>
        </right>
        <top style="dotted">
          <color theme="1" tint="0.499984740745262"/>
        </top>
        <bottom style="dotted">
          <color theme="1" tint="0.499984740745262"/>
        </bottom>
      </border>
    </dxf>
    <dxf>
      <font>
        <b/>
        <i val="0"/>
        <strike val="0"/>
        <condense val="0"/>
        <extend val="0"/>
        <outline val="0"/>
        <shadow val="0"/>
        <u val="none"/>
        <vertAlign val="baseline"/>
        <sz val="11"/>
        <color theme="1"/>
        <name val="Calibri"/>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thin">
          <color indexed="64"/>
        </right>
        <top style="dotted">
          <color theme="1" tint="0.499984740745262"/>
        </top>
        <bottom style="dotted">
          <color theme="1" tint="0.499984740745262"/>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0" tint="-4.9989318521683403E-2"/>
        <name val="Calibri"/>
        <scheme val="minor"/>
      </font>
      <fill>
        <patternFill patternType="solid">
          <fgColor indexed="64"/>
          <bgColor theme="0" tint="-4.9989318521683403E-2"/>
        </patternFill>
      </fill>
    </dxf>
    <dxf>
      <border outline="0">
        <bottom style="medium">
          <color indexed="64"/>
        </bottom>
      </border>
    </dxf>
  </dxfs>
  <tableStyles count="1" defaultTableStyle="TableStyleMedium2" defaultPivotStyle="PivotStyleLight16">
    <tableStyle name="Table Style 1" pivot="0" count="0" xr9:uid="{00000000-0011-0000-FFFF-FFFF00000000}"/>
  </tableStyles>
  <colors>
    <mruColors>
      <color rgb="FF7A8FAA"/>
      <color rgb="FFD4E4DF"/>
      <color rgb="FF3C5D25"/>
      <color rgb="FF8FB9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'Control Chart'!$B$2</c:f>
          <c:strCache>
            <c:ptCount val="1"/>
            <c:pt idx="0">
              <c:v>Control Chart</c:v>
            </c:pt>
          </c:strCache>
        </c:strRef>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19050" cap="rnd">
              <a:solidFill>
                <a:schemeClr val="accent1"/>
              </a:solidFill>
              <a:round/>
            </a:ln>
            <a:effectLst/>
          </c:spPr>
          <c:marker>
            <c:symbol val="circle"/>
            <c:size val="6"/>
            <c:spPr>
              <a:solidFill>
                <a:schemeClr val="accent1"/>
              </a:solidFill>
              <a:ln w="9525">
                <a:noFill/>
              </a:ln>
              <a:effectLst/>
            </c:spPr>
          </c:marker>
          <c:cat>
            <c:numRef>
              <c:f>'Control Chart'!$C$7:$C$28</c:f>
              <c:numCache>
                <c:formatCode>d\-mmm\-yy</c:formatCode>
                <c:ptCount val="22"/>
                <c:pt idx="0">
                  <c:v>45100</c:v>
                </c:pt>
                <c:pt idx="1">
                  <c:v>45101</c:v>
                </c:pt>
                <c:pt idx="2">
                  <c:v>45102</c:v>
                </c:pt>
                <c:pt idx="3">
                  <c:v>45103</c:v>
                </c:pt>
                <c:pt idx="4">
                  <c:v>45104</c:v>
                </c:pt>
                <c:pt idx="5">
                  <c:v>45105</c:v>
                </c:pt>
                <c:pt idx="6">
                  <c:v>45106</c:v>
                </c:pt>
                <c:pt idx="7">
                  <c:v>45107</c:v>
                </c:pt>
                <c:pt idx="8">
                  <c:v>45108</c:v>
                </c:pt>
                <c:pt idx="9">
                  <c:v>45109</c:v>
                </c:pt>
                <c:pt idx="10">
                  <c:v>45110</c:v>
                </c:pt>
                <c:pt idx="11">
                  <c:v>45111</c:v>
                </c:pt>
              </c:numCache>
            </c:numRef>
          </c:cat>
          <c:val>
            <c:numRef>
              <c:f>'Control Chart'!$D$7:$D$28</c:f>
              <c:numCache>
                <c:formatCode>General</c:formatCode>
                <c:ptCount val="22"/>
                <c:pt idx="0">
                  <c:v>0</c:v>
                </c:pt>
                <c:pt idx="1">
                  <c:v>3</c:v>
                </c:pt>
                <c:pt idx="2">
                  <c:v>4</c:v>
                </c:pt>
                <c:pt idx="3">
                  <c:v>5</c:v>
                </c:pt>
                <c:pt idx="4">
                  <c:v>5</c:v>
                </c:pt>
                <c:pt idx="5">
                  <c:v>3</c:v>
                </c:pt>
                <c:pt idx="6">
                  <c:v>2</c:v>
                </c:pt>
                <c:pt idx="7">
                  <c:v>-1</c:v>
                </c:pt>
                <c:pt idx="8">
                  <c:v>-2</c:v>
                </c:pt>
                <c:pt idx="9">
                  <c:v>-2</c:v>
                </c:pt>
                <c:pt idx="10">
                  <c:v>0</c:v>
                </c:pt>
                <c:pt idx="11">
                  <c:v>1</c:v>
                </c:pt>
              </c:numCache>
            </c:numRef>
          </c:val>
          <c:smooth val="0"/>
          <c:extLst>
            <c:ext xmlns:c16="http://schemas.microsoft.com/office/drawing/2014/chart" uri="{C3380CC4-5D6E-409C-BE32-E72D297353CC}">
              <c16:uniqueId val="{0000000D-1212-4ADD-81C2-F2B871E283ED}"/>
            </c:ext>
          </c:extLst>
        </c:ser>
        <c:ser>
          <c:idx val="1"/>
          <c:order val="1"/>
          <c:spPr>
            <a:ln w="12700" cap="rnd">
              <a:solidFill>
                <a:schemeClr val="accent4">
                  <a:alpha val="5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1E26-4590-9CC8-8A6E27AB3417}"/>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E26-4590-9CC8-8A6E27AB3417}"/>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E26-4590-9CC8-8A6E27AB3417}"/>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E26-4590-9CC8-8A6E27AB3417}"/>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E26-4590-9CC8-8A6E27AB3417}"/>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E26-4590-9CC8-8A6E27AB3417}"/>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E26-4590-9CC8-8A6E27AB3417}"/>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E26-4590-9CC8-8A6E27AB3417}"/>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E26-4590-9CC8-8A6E27AB3417}"/>
                </c:ext>
              </c:extLst>
            </c:dLbl>
            <c:dLbl>
              <c:idx val="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E26-4590-9CC8-8A6E27AB3417}"/>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E26-4590-9CC8-8A6E27AB3417}"/>
                </c:ext>
              </c:extLst>
            </c:dLbl>
            <c:dLbl>
              <c:idx val="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E26-4590-9CC8-8A6E27AB3417}"/>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E26-4590-9CC8-8A6E27AB3417}"/>
                </c:ext>
              </c:extLst>
            </c:dLbl>
            <c:dLbl>
              <c:idx val="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E26-4590-9CC8-8A6E27AB3417}"/>
                </c:ext>
              </c:extLst>
            </c:dLbl>
            <c:dLbl>
              <c:idx val="14"/>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1E26-4590-9CC8-8A6E27AB3417}"/>
                </c:ext>
              </c:extLst>
            </c:dLbl>
            <c:dLbl>
              <c:idx val="15"/>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1E26-4590-9CC8-8A6E27AB3417}"/>
                </c:ext>
              </c:extLst>
            </c:dLbl>
            <c:dLbl>
              <c:idx val="16"/>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1E26-4590-9CC8-8A6E27AB3417}"/>
                </c:ext>
              </c:extLst>
            </c:dLbl>
            <c:dLbl>
              <c:idx val="17"/>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1E26-4590-9CC8-8A6E27AB3417}"/>
                </c:ext>
              </c:extLst>
            </c:dLbl>
            <c:dLbl>
              <c:idx val="18"/>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1E26-4590-9CC8-8A6E27AB3417}"/>
                </c:ext>
              </c:extLst>
            </c:dLbl>
            <c:dLbl>
              <c:idx val="19"/>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1E26-4590-9CC8-8A6E27AB3417}"/>
                </c:ext>
              </c:extLst>
            </c:dLbl>
            <c:dLbl>
              <c:idx val="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E26-4590-9CC8-8A6E27AB3417}"/>
                </c:ext>
              </c:extLst>
            </c:dLbl>
            <c:dLbl>
              <c:idx val="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007-48DE-9DF5-C7ED35C450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'Control Chart'!$C$7:$C$28</c:f>
              <c:numCache>
                <c:formatCode>d\-mmm\-yy</c:formatCode>
                <c:ptCount val="22"/>
                <c:pt idx="0">
                  <c:v>45100</c:v>
                </c:pt>
                <c:pt idx="1">
                  <c:v>45101</c:v>
                </c:pt>
                <c:pt idx="2">
                  <c:v>45102</c:v>
                </c:pt>
                <c:pt idx="3">
                  <c:v>45103</c:v>
                </c:pt>
                <c:pt idx="4">
                  <c:v>45104</c:v>
                </c:pt>
                <c:pt idx="5">
                  <c:v>45105</c:v>
                </c:pt>
                <c:pt idx="6">
                  <c:v>45106</c:v>
                </c:pt>
                <c:pt idx="7">
                  <c:v>45107</c:v>
                </c:pt>
                <c:pt idx="8">
                  <c:v>45108</c:v>
                </c:pt>
                <c:pt idx="9">
                  <c:v>45109</c:v>
                </c:pt>
                <c:pt idx="10">
                  <c:v>45110</c:v>
                </c:pt>
                <c:pt idx="11">
                  <c:v>45111</c:v>
                </c:pt>
              </c:numCache>
            </c:numRef>
          </c:cat>
          <c:val>
            <c:numRef>
              <c:f>'Control Chart'!$E$7:$E$28</c:f>
              <c:numCache>
                <c:formatCode>0.00</c:formatCode>
                <c:ptCount val="22"/>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numCache>
            </c:numRef>
          </c:val>
          <c:smooth val="0"/>
          <c:extLst>
            <c:ext xmlns:c15="http://schemas.microsoft.com/office/drawing/2012/chart" uri="{02D57815-91ED-43cb-92C2-25804820EDAC}">
              <c15:datalabelsRange>
                <c15:f>'Control Chart'!$C$33</c15:f>
                <c15:dlblRangeCache>
                  <c:ptCount val="1"/>
                  <c:pt idx="0">
                    <c:v>Lower Control Limit</c:v>
                  </c:pt>
                </c15:dlblRangeCache>
              </c15:datalabelsRange>
            </c:ext>
            <c:ext xmlns:c16="http://schemas.microsoft.com/office/drawing/2014/chart" uri="{C3380CC4-5D6E-409C-BE32-E72D297353CC}">
              <c16:uniqueId val="{00000011-1E26-4590-9CC8-8A6E27AB3417}"/>
            </c:ext>
          </c:extLst>
        </c:ser>
        <c:ser>
          <c:idx val="2"/>
          <c:order val="2"/>
          <c:spPr>
            <a:ln w="12700" cap="rnd">
              <a:solidFill>
                <a:srgbClr val="3C5D25">
                  <a:alpha val="50000"/>
                </a:srgbClr>
              </a:solidFill>
              <a:round/>
            </a:ln>
            <a:effectLst/>
          </c:spPr>
          <c:marker>
            <c:symbol val="none"/>
          </c:marker>
          <c:dLbls>
            <c:dLbl>
              <c:idx val="0"/>
              <c:layout>
                <c:manualLayout>
                  <c:x val="-2.2004868793803985E-2"/>
                  <c:y val="-2.128325456155029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2">
                            <a:alpha val="70000"/>
                          </a:schemeClr>
                        </a:solidFill>
                        <a:latin typeface="+mn-lt"/>
                        <a:ea typeface="+mn-ea"/>
                        <a:cs typeface="+mn-cs"/>
                      </a:defRPr>
                    </a:pPr>
                    <a:fld id="{0DBB7559-8DEA-433B-AFA5-70395C8745F6}" type="CELLRANGE">
                      <a:rPr lang="en-US" b="1">
                        <a:solidFill>
                          <a:schemeClr val="tx2">
                            <a:alpha val="70000"/>
                          </a:schemeClr>
                        </a:solidFill>
                      </a:rPr>
                      <a:pPr>
                        <a:defRPr b="1">
                          <a:solidFill>
                            <a:schemeClr val="tx2">
                              <a:alpha val="70000"/>
                            </a:schemeClr>
                          </a:solidFill>
                        </a:defRPr>
                      </a:pPr>
                      <a:t>[CELLRANGE]</a:t>
                    </a:fld>
                    <a:endParaRPr lang="en-AU"/>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alpha val="7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1E26-4590-9CC8-8A6E27AB3417}"/>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E26-4590-9CC8-8A6E27AB3417}"/>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E26-4590-9CC8-8A6E27AB3417}"/>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E26-4590-9CC8-8A6E27AB3417}"/>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1E26-4590-9CC8-8A6E27AB3417}"/>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E26-4590-9CC8-8A6E27AB3417}"/>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E26-4590-9CC8-8A6E27AB3417}"/>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E26-4590-9CC8-8A6E27AB3417}"/>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E26-4590-9CC8-8A6E27AB3417}"/>
                </c:ext>
              </c:extLst>
            </c:dLbl>
            <c:dLbl>
              <c:idx val="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E26-4590-9CC8-8A6E27AB3417}"/>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E26-4590-9CC8-8A6E27AB3417}"/>
                </c:ext>
              </c:extLst>
            </c:dLbl>
            <c:dLbl>
              <c:idx val="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E26-4590-9CC8-8A6E27AB3417}"/>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E26-4590-9CC8-8A6E27AB3417}"/>
                </c:ext>
              </c:extLst>
            </c:dLbl>
            <c:dLbl>
              <c:idx val="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E26-4590-9CC8-8A6E27AB3417}"/>
                </c:ext>
              </c:extLst>
            </c:dLbl>
            <c:dLbl>
              <c:idx val="14"/>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1E26-4590-9CC8-8A6E27AB3417}"/>
                </c:ext>
              </c:extLst>
            </c:dLbl>
            <c:dLbl>
              <c:idx val="15"/>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1E26-4590-9CC8-8A6E27AB3417}"/>
                </c:ext>
              </c:extLst>
            </c:dLbl>
            <c:dLbl>
              <c:idx val="16"/>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1E26-4590-9CC8-8A6E27AB3417}"/>
                </c:ext>
              </c:extLst>
            </c:dLbl>
            <c:dLbl>
              <c:idx val="17"/>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1E26-4590-9CC8-8A6E27AB3417}"/>
                </c:ext>
              </c:extLst>
            </c:dLbl>
            <c:dLbl>
              <c:idx val="18"/>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1E26-4590-9CC8-8A6E27AB3417}"/>
                </c:ext>
              </c:extLst>
            </c:dLbl>
            <c:dLbl>
              <c:idx val="19"/>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1E26-4590-9CC8-8A6E27AB3417}"/>
                </c:ext>
              </c:extLst>
            </c:dLbl>
            <c:dLbl>
              <c:idx val="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E26-4590-9CC8-8A6E27AB3417}"/>
                </c:ext>
              </c:extLst>
            </c:dLbl>
            <c:dLbl>
              <c:idx val="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007-48DE-9DF5-C7ED35C450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'Control Chart'!$C$7:$C$28</c:f>
              <c:numCache>
                <c:formatCode>d\-mmm\-yy</c:formatCode>
                <c:ptCount val="22"/>
                <c:pt idx="0">
                  <c:v>45100</c:v>
                </c:pt>
                <c:pt idx="1">
                  <c:v>45101</c:v>
                </c:pt>
                <c:pt idx="2">
                  <c:v>45102</c:v>
                </c:pt>
                <c:pt idx="3">
                  <c:v>45103</c:v>
                </c:pt>
                <c:pt idx="4">
                  <c:v>45104</c:v>
                </c:pt>
                <c:pt idx="5">
                  <c:v>45105</c:v>
                </c:pt>
                <c:pt idx="6">
                  <c:v>45106</c:v>
                </c:pt>
                <c:pt idx="7">
                  <c:v>45107</c:v>
                </c:pt>
                <c:pt idx="8">
                  <c:v>45108</c:v>
                </c:pt>
                <c:pt idx="9">
                  <c:v>45109</c:v>
                </c:pt>
                <c:pt idx="10">
                  <c:v>45110</c:v>
                </c:pt>
                <c:pt idx="11">
                  <c:v>45111</c:v>
                </c:pt>
              </c:numCache>
            </c:numRef>
          </c:cat>
          <c:val>
            <c:numRef>
              <c:f>'Control Chart'!$F$7:$F$28</c:f>
              <c:numCache>
                <c:formatCode>0.00</c:formatCode>
                <c:ptCount val="22"/>
                <c:pt idx="0">
                  <c:v>3.9324199198877374</c:v>
                </c:pt>
                <c:pt idx="1">
                  <c:v>3.9324199198877374</c:v>
                </c:pt>
                <c:pt idx="2">
                  <c:v>3.9324199198877374</c:v>
                </c:pt>
                <c:pt idx="3">
                  <c:v>3.9324199198877374</c:v>
                </c:pt>
                <c:pt idx="4">
                  <c:v>3.9324199198877374</c:v>
                </c:pt>
                <c:pt idx="5">
                  <c:v>3.9324199198877374</c:v>
                </c:pt>
                <c:pt idx="6">
                  <c:v>3.9324199198877374</c:v>
                </c:pt>
                <c:pt idx="7">
                  <c:v>3.9324199198877374</c:v>
                </c:pt>
                <c:pt idx="8">
                  <c:v>3.9324199198877374</c:v>
                </c:pt>
                <c:pt idx="9">
                  <c:v>3.9324199198877374</c:v>
                </c:pt>
                <c:pt idx="10">
                  <c:v>3.9324199198877374</c:v>
                </c:pt>
                <c:pt idx="11">
                  <c:v>3.9324199198877374</c:v>
                </c:pt>
                <c:pt idx="12">
                  <c:v>3.9324199198877374</c:v>
                </c:pt>
                <c:pt idx="13">
                  <c:v>3.9324199198877374</c:v>
                </c:pt>
                <c:pt idx="14">
                  <c:v>3.9324199198877374</c:v>
                </c:pt>
                <c:pt idx="15">
                  <c:v>3.9324199198877374</c:v>
                </c:pt>
                <c:pt idx="16">
                  <c:v>3.9324199198877374</c:v>
                </c:pt>
                <c:pt idx="17">
                  <c:v>3.9324199198877374</c:v>
                </c:pt>
                <c:pt idx="18">
                  <c:v>3.9324199198877374</c:v>
                </c:pt>
                <c:pt idx="19">
                  <c:v>3.9324199198877374</c:v>
                </c:pt>
                <c:pt idx="20">
                  <c:v>3.9324199198877374</c:v>
                </c:pt>
                <c:pt idx="21">
                  <c:v>3.9324199198877374</c:v>
                </c:pt>
              </c:numCache>
            </c:numRef>
          </c:val>
          <c:smooth val="0"/>
          <c:extLst>
            <c:ext xmlns:c15="http://schemas.microsoft.com/office/drawing/2012/chart" uri="{02D57815-91ED-43cb-92C2-25804820EDAC}">
              <c15:datalabelsRange>
                <c15:f>'Control Chart'!$C$32</c15:f>
                <c15:dlblRangeCache>
                  <c:ptCount val="1"/>
                  <c:pt idx="0">
                    <c:v>Upper Control Limit</c:v>
                  </c:pt>
                </c15:dlblRangeCache>
              </c15:datalabelsRange>
            </c:ext>
            <c:ext xmlns:c16="http://schemas.microsoft.com/office/drawing/2014/chart" uri="{C3380CC4-5D6E-409C-BE32-E72D297353CC}">
              <c16:uniqueId val="{00000023-1E26-4590-9CC8-8A6E27AB3417}"/>
            </c:ext>
          </c:extLst>
        </c:ser>
        <c:ser>
          <c:idx val="3"/>
          <c:order val="3"/>
          <c:spPr>
            <a:ln w="12700" cap="rnd">
              <a:solidFill>
                <a:schemeClr val="accent2">
                  <a:lumMod val="75000"/>
                  <a:alpha val="47000"/>
                </a:schemeClr>
              </a:solidFill>
              <a:round/>
            </a:ln>
            <a:effectLst/>
          </c:spPr>
          <c:marker>
            <c:symbol val="circle"/>
            <c:size val="5"/>
            <c:spPr>
              <a:noFill/>
              <a:ln w="9525">
                <a:noFill/>
              </a:ln>
              <a:effectLst/>
            </c:spPr>
          </c:marker>
          <c:dLbls>
            <c:dLbl>
              <c:idx val="0"/>
              <c:layout>
                <c:manualLayout>
                  <c:x val="-2.0171129727653652E-2"/>
                  <c:y val="2.660406820193786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2">
                            <a:alpha val="70000"/>
                          </a:schemeClr>
                        </a:solidFill>
                        <a:latin typeface="+mn-lt"/>
                        <a:ea typeface="+mn-ea"/>
                        <a:cs typeface="+mn-cs"/>
                      </a:defRPr>
                    </a:pPr>
                    <a:fld id="{23195EF9-9793-439D-973A-DDA37CE65341}" type="CELLRANGE">
                      <a:rPr lang="en-US" b="1">
                        <a:solidFill>
                          <a:schemeClr val="tx2">
                            <a:alpha val="70000"/>
                          </a:schemeClr>
                        </a:solidFill>
                      </a:rPr>
                      <a:pPr>
                        <a:defRPr b="1">
                          <a:solidFill>
                            <a:schemeClr val="tx2">
                              <a:alpha val="70000"/>
                            </a:schemeClr>
                          </a:solidFill>
                        </a:defRPr>
                      </a:pPr>
                      <a:t>[CELLRANGE]</a:t>
                    </a:fld>
                    <a:endParaRPr lang="en-AU"/>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alpha val="7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1E26-4590-9CC8-8A6E27AB3417}"/>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E26-4590-9CC8-8A6E27AB3417}"/>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E26-4590-9CC8-8A6E27AB3417}"/>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E26-4590-9CC8-8A6E27AB3417}"/>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E26-4590-9CC8-8A6E27AB3417}"/>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E26-4590-9CC8-8A6E27AB3417}"/>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E26-4590-9CC8-8A6E27AB3417}"/>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E26-4590-9CC8-8A6E27AB3417}"/>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E26-4590-9CC8-8A6E27AB3417}"/>
                </c:ext>
              </c:extLst>
            </c:dLbl>
            <c:dLbl>
              <c:idx val="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1E26-4590-9CC8-8A6E27AB3417}"/>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E26-4590-9CC8-8A6E27AB3417}"/>
                </c:ext>
              </c:extLst>
            </c:dLbl>
            <c:dLbl>
              <c:idx val="1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E26-4590-9CC8-8A6E27AB3417}"/>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E26-4590-9CC8-8A6E27AB3417}"/>
                </c:ext>
              </c:extLst>
            </c:dLbl>
            <c:dLbl>
              <c:idx val="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E26-4590-9CC8-8A6E27AB3417}"/>
                </c:ext>
              </c:extLst>
            </c:dLbl>
            <c:dLbl>
              <c:idx val="14"/>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1E26-4590-9CC8-8A6E27AB3417}"/>
                </c:ext>
              </c:extLst>
            </c:dLbl>
            <c:dLbl>
              <c:idx val="15"/>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007-48DE-9DF5-C7ED35C450A0}"/>
                </c:ext>
              </c:extLst>
            </c:dLbl>
            <c:dLbl>
              <c:idx val="16"/>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007-48DE-9DF5-C7ED35C450A0}"/>
                </c:ext>
              </c:extLst>
            </c:dLbl>
            <c:dLbl>
              <c:idx val="17"/>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007-48DE-9DF5-C7ED35C450A0}"/>
                </c:ext>
              </c:extLst>
            </c:dLbl>
            <c:dLbl>
              <c:idx val="18"/>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007-48DE-9DF5-C7ED35C450A0}"/>
                </c:ext>
              </c:extLst>
            </c:dLbl>
            <c:dLbl>
              <c:idx val="19"/>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007-48DE-9DF5-C7ED35C450A0}"/>
                </c:ext>
              </c:extLst>
            </c:dLbl>
            <c:dLbl>
              <c:idx val="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86D-4254-B7F4-E8A8CEC57839}"/>
                </c:ext>
              </c:extLst>
            </c:dLbl>
            <c:dLbl>
              <c:idx val="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007-48DE-9DF5-C7ED35C450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'Control Chart'!$C$7:$C$28</c:f>
              <c:numCache>
                <c:formatCode>d\-mmm\-yy</c:formatCode>
                <c:ptCount val="22"/>
                <c:pt idx="0">
                  <c:v>45100</c:v>
                </c:pt>
                <c:pt idx="1">
                  <c:v>45101</c:v>
                </c:pt>
                <c:pt idx="2">
                  <c:v>45102</c:v>
                </c:pt>
                <c:pt idx="3">
                  <c:v>45103</c:v>
                </c:pt>
                <c:pt idx="4">
                  <c:v>45104</c:v>
                </c:pt>
                <c:pt idx="5">
                  <c:v>45105</c:v>
                </c:pt>
                <c:pt idx="6">
                  <c:v>45106</c:v>
                </c:pt>
                <c:pt idx="7">
                  <c:v>45107</c:v>
                </c:pt>
                <c:pt idx="8">
                  <c:v>45108</c:v>
                </c:pt>
                <c:pt idx="9">
                  <c:v>45109</c:v>
                </c:pt>
                <c:pt idx="10">
                  <c:v>45110</c:v>
                </c:pt>
                <c:pt idx="11">
                  <c:v>45111</c:v>
                </c:pt>
              </c:numCache>
            </c:numRef>
          </c:cat>
          <c:val>
            <c:numRef>
              <c:f>'Control Chart'!$G$7:$G$28</c:f>
              <c:numCache>
                <c:formatCode>0.00</c:formatCode>
                <c:ptCount val="22"/>
                <c:pt idx="0">
                  <c:v>-0.93241991988773743</c:v>
                </c:pt>
                <c:pt idx="1">
                  <c:v>-0.93241991988773743</c:v>
                </c:pt>
                <c:pt idx="2">
                  <c:v>-0.93241991988773743</c:v>
                </c:pt>
                <c:pt idx="3">
                  <c:v>-0.93241991988773743</c:v>
                </c:pt>
                <c:pt idx="4">
                  <c:v>-0.93241991988773743</c:v>
                </c:pt>
                <c:pt idx="5">
                  <c:v>-0.93241991988773743</c:v>
                </c:pt>
                <c:pt idx="6">
                  <c:v>-0.93241991988773743</c:v>
                </c:pt>
                <c:pt idx="7">
                  <c:v>-0.93241991988773743</c:v>
                </c:pt>
                <c:pt idx="8">
                  <c:v>-0.93241991988773743</c:v>
                </c:pt>
                <c:pt idx="9">
                  <c:v>-0.93241991988773743</c:v>
                </c:pt>
                <c:pt idx="10">
                  <c:v>-0.93241991988773743</c:v>
                </c:pt>
                <c:pt idx="11">
                  <c:v>-0.93241991988773743</c:v>
                </c:pt>
                <c:pt idx="12">
                  <c:v>-0.93241991988773743</c:v>
                </c:pt>
                <c:pt idx="13">
                  <c:v>-0.93241991988773743</c:v>
                </c:pt>
                <c:pt idx="14">
                  <c:v>-0.93241991988773743</c:v>
                </c:pt>
                <c:pt idx="15">
                  <c:v>-0.93241991988773743</c:v>
                </c:pt>
                <c:pt idx="16">
                  <c:v>-0.93241991988773743</c:v>
                </c:pt>
                <c:pt idx="17">
                  <c:v>-0.93241991988773743</c:v>
                </c:pt>
                <c:pt idx="18">
                  <c:v>-0.93241991988773743</c:v>
                </c:pt>
                <c:pt idx="19">
                  <c:v>-0.93241991988773743</c:v>
                </c:pt>
                <c:pt idx="20">
                  <c:v>-0.93241991988773743</c:v>
                </c:pt>
                <c:pt idx="21">
                  <c:v>-0.93241991988773743</c:v>
                </c:pt>
              </c:numCache>
            </c:numRef>
          </c:val>
          <c:smooth val="0"/>
          <c:extLst>
            <c:ext xmlns:c15="http://schemas.microsoft.com/office/drawing/2012/chart" uri="{02D57815-91ED-43cb-92C2-25804820EDAC}">
              <c15:datalabelsRange>
                <c15:f>'Control Chart'!$C$33</c15:f>
                <c15:dlblRangeCache>
                  <c:ptCount val="1"/>
                  <c:pt idx="0">
                    <c:v>Lower Control Limit</c:v>
                  </c:pt>
                </c15:dlblRangeCache>
              </c15:datalabelsRange>
            </c:ext>
            <c:ext xmlns:c16="http://schemas.microsoft.com/office/drawing/2014/chart" uri="{C3380CC4-5D6E-409C-BE32-E72D297353CC}">
              <c16:uniqueId val="{00000035-1E26-4590-9CC8-8A6E27AB3417}"/>
            </c:ext>
          </c:extLst>
        </c:ser>
        <c:dLbls>
          <c:showLegendKey val="0"/>
          <c:showVal val="0"/>
          <c:showCatName val="0"/>
          <c:showSerName val="0"/>
          <c:showPercent val="0"/>
          <c:showBubbleSize val="0"/>
        </c:dLbls>
        <c:marker val="1"/>
        <c:smooth val="0"/>
        <c:axId val="158739040"/>
        <c:axId val="158741784"/>
      </c:lineChart>
      <c:dateAx>
        <c:axId val="158739040"/>
        <c:scaling>
          <c:orientation val="minMax"/>
        </c:scaling>
        <c:delete val="0"/>
        <c:axPos val="b"/>
        <c:majorGridlines>
          <c:spPr>
            <a:ln w="9525" cap="flat" cmpd="sng" algn="ctr">
              <a:solidFill>
                <a:schemeClr val="tx1">
                  <a:lumMod val="15000"/>
                  <a:lumOff val="85000"/>
                </a:schemeClr>
              </a:solidFill>
              <a:round/>
            </a:ln>
            <a:effectLst/>
          </c:spPr>
        </c:majorGridlines>
        <c:title>
          <c:tx>
            <c:strRef>
              <c:f>'Control Chart'!$C$5</c:f>
              <c:strCache>
                <c:ptCount val="1"/>
                <c:pt idx="0">
                  <c:v>Date</c:v>
                </c:pt>
              </c:strCache>
            </c:strRef>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d\-mmm\-yy"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8741784"/>
        <c:crosses val="autoZero"/>
        <c:auto val="1"/>
        <c:lblOffset val="100"/>
        <c:baseTimeUnit val="days"/>
        <c:minorUnit val="1"/>
      </c:dateAx>
      <c:valAx>
        <c:axId val="158741784"/>
        <c:scaling>
          <c:orientation val="minMax"/>
        </c:scaling>
        <c:delete val="0"/>
        <c:axPos val="l"/>
        <c:majorGridlines>
          <c:spPr>
            <a:ln w="9525" cap="flat" cmpd="sng" algn="ctr">
              <a:solidFill>
                <a:schemeClr val="tx1">
                  <a:lumMod val="15000"/>
                  <a:lumOff val="85000"/>
                </a:schemeClr>
              </a:solidFill>
              <a:round/>
            </a:ln>
            <a:effectLst/>
          </c:spPr>
        </c:majorGridlines>
        <c:title>
          <c:tx>
            <c:strRef>
              <c:f>'Control Chart'!$D$5</c:f>
              <c:strCache>
                <c:ptCount val="1"/>
                <c:pt idx="0">
                  <c:v>Value</c:v>
                </c:pt>
              </c:strCache>
            </c:strRef>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8739040"/>
        <c:crosses val="autoZero"/>
        <c:crossBetween val="between"/>
      </c:valAx>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155537</xdr:colOff>
      <xdr:row>2</xdr:row>
      <xdr:rowOff>7620</xdr:rowOff>
    </xdr:from>
    <xdr:to>
      <xdr:col>18</xdr:col>
      <xdr:colOff>375677</xdr:colOff>
      <xdr:row>28</xdr:row>
      <xdr:rowOff>160020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G28" totalsRowShown="0" dataDxfId="7" headerRowBorderDxfId="8" tableBorderDxfId="6">
  <autoFilter ref="B5:G28" xr:uid="{00000000-0009-0000-0100-000001000000}"/>
  <tableColumns count="6">
    <tableColumn id="1" xr3:uid="{00000000-0010-0000-0000-000001000000}" name="#" dataDxfId="5">
      <calculatedColumnFormula>IF(ISBLANK(C6),"",MAX(B5:B$6)+1)</calculatedColumnFormula>
    </tableColumn>
    <tableColumn id="2" xr3:uid="{00000000-0010-0000-0000-000002000000}" name="Date" dataDxfId="4"/>
    <tableColumn id="3" xr3:uid="{00000000-0010-0000-0000-000003000000}" name="Value" dataDxfId="3"/>
    <tableColumn id="4" xr3:uid="{00000000-0010-0000-0000-000004000000}" name="AVG" dataDxfId="2">
      <calculatedColumnFormula>D$30</calculatedColumnFormula>
    </tableColumn>
    <tableColumn id="5" xr3:uid="{00000000-0010-0000-0000-000005000000}" name="UCL" dataDxfId="1">
      <calculatedColumnFormula>D$32</calculatedColumnFormula>
    </tableColumn>
    <tableColumn id="6" xr3:uid="{00000000-0010-0000-0000-000006000000}" name="LCL" dataDxfId="0">
      <calculatedColumnFormula>D$33</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
  <sheetViews>
    <sheetView showGridLines="0" tabSelected="1" zoomScaleNormal="100" workbookViewId="0"/>
  </sheetViews>
  <sheetFormatPr defaultRowHeight="14.4" x14ac:dyDescent="0.3"/>
  <cols>
    <col min="1" max="1" width="1.77734375" customWidth="1"/>
    <col min="2" max="2" width="4" customWidth="1"/>
    <col min="3" max="3" width="17.109375" customWidth="1"/>
    <col min="4" max="4" width="10.44140625" customWidth="1"/>
    <col min="5" max="5" width="6.6640625" customWidth="1"/>
    <col min="6" max="6" width="6.21875" customWidth="1"/>
    <col min="7" max="7" width="6.77734375" customWidth="1"/>
    <col min="19" max="19" width="6.5546875" customWidth="1"/>
  </cols>
  <sheetData>
    <row r="1" spans="1:19" ht="10.8" customHeight="1" x14ac:dyDescent="0.3">
      <c r="A1" s="3"/>
      <c r="B1" s="3"/>
      <c r="C1" s="3"/>
      <c r="D1" s="3"/>
      <c r="E1" s="3"/>
      <c r="F1" s="3"/>
      <c r="G1" s="3"/>
      <c r="H1" s="3"/>
      <c r="I1" s="3"/>
      <c r="J1" s="3"/>
      <c r="K1" s="3"/>
      <c r="L1" s="3"/>
      <c r="M1" s="3"/>
      <c r="N1" s="3"/>
      <c r="O1" s="3"/>
      <c r="P1" s="3"/>
      <c r="Q1" s="3"/>
      <c r="R1" s="3"/>
      <c r="S1" s="2"/>
    </row>
    <row r="2" spans="1:19" ht="31.2" x14ac:dyDescent="0.6">
      <c r="A2" s="3"/>
      <c r="B2" s="4" t="s">
        <v>3</v>
      </c>
      <c r="C2" s="5"/>
      <c r="D2" s="3"/>
      <c r="E2" s="3"/>
      <c r="F2" s="3"/>
      <c r="G2" s="3"/>
      <c r="H2" s="3"/>
      <c r="I2" s="3"/>
      <c r="J2" s="3"/>
      <c r="K2" s="3"/>
      <c r="L2" s="3"/>
      <c r="M2" s="3"/>
      <c r="N2" s="3"/>
      <c r="O2" s="3"/>
      <c r="P2" s="3"/>
      <c r="Q2" s="3"/>
      <c r="R2" s="3"/>
      <c r="S2" s="2"/>
    </row>
    <row r="3" spans="1:19" ht="19.8" customHeight="1" x14ac:dyDescent="0.3">
      <c r="A3" s="3"/>
      <c r="B3" s="3"/>
      <c r="C3" s="43" t="s">
        <v>27</v>
      </c>
      <c r="D3" s="44"/>
      <c r="E3" s="45"/>
      <c r="F3" s="45"/>
      <c r="G3" s="45"/>
      <c r="H3" s="2"/>
      <c r="I3" s="2"/>
      <c r="J3" s="2"/>
      <c r="K3" s="2"/>
      <c r="L3" s="2"/>
      <c r="M3" s="2"/>
      <c r="N3" s="2"/>
      <c r="O3" s="2"/>
      <c r="P3" s="2"/>
      <c r="Q3" s="2"/>
      <c r="R3" s="2"/>
      <c r="S3" s="2"/>
    </row>
    <row r="4" spans="1:19" ht="8.4" customHeight="1" x14ac:dyDescent="0.3">
      <c r="A4" s="3"/>
      <c r="B4" s="3"/>
      <c r="C4" s="3"/>
      <c r="D4" s="2"/>
      <c r="E4" s="2"/>
      <c r="F4" s="2"/>
      <c r="G4" s="2"/>
      <c r="H4" s="2"/>
      <c r="I4" s="2"/>
      <c r="J4" s="2"/>
      <c r="K4" s="2"/>
      <c r="L4" s="2"/>
      <c r="M4" s="2"/>
      <c r="N4" s="2"/>
      <c r="O4" s="2"/>
      <c r="P4" s="2"/>
      <c r="Q4" s="2"/>
      <c r="R4" s="2"/>
      <c r="S4" s="2"/>
    </row>
    <row r="5" spans="1:19" ht="16.2" thickBot="1" x14ac:dyDescent="0.35">
      <c r="B5" s="40" t="s">
        <v>1</v>
      </c>
      <c r="C5" s="26" t="s">
        <v>4</v>
      </c>
      <c r="D5" s="27" t="s">
        <v>5</v>
      </c>
      <c r="E5" s="41" t="s">
        <v>12</v>
      </c>
      <c r="F5" s="41" t="s">
        <v>10</v>
      </c>
      <c r="G5" s="42" t="s">
        <v>11</v>
      </c>
    </row>
    <row r="6" spans="1:19" ht="7.8" customHeight="1" x14ac:dyDescent="0.3">
      <c r="B6" s="37" t="str">
        <f>IF(ISBLANK(C6),"",MAX(B$6:B6)+1)</f>
        <v/>
      </c>
      <c r="C6" s="11"/>
      <c r="D6" s="17"/>
      <c r="E6" s="18">
        <f t="shared" ref="E6:E20" si="0">D$30</f>
        <v>1.5</v>
      </c>
      <c r="F6" s="18">
        <f t="shared" ref="F6:F20" si="1">D$32</f>
        <v>3.9324199198877374</v>
      </c>
      <c r="G6" s="18">
        <f t="shared" ref="G6:G28" si="2">D$33</f>
        <v>-0.93241991988773743</v>
      </c>
    </row>
    <row r="7" spans="1:19" x14ac:dyDescent="0.3">
      <c r="B7" s="38">
        <f>IF(ISBLANK(C7),"",MAX(B$6:B6)+1)</f>
        <v>1</v>
      </c>
      <c r="C7" s="12">
        <v>45100</v>
      </c>
      <c r="D7" s="19">
        <v>0</v>
      </c>
      <c r="E7" s="20">
        <f t="shared" si="0"/>
        <v>1.5</v>
      </c>
      <c r="F7" s="20">
        <f t="shared" si="1"/>
        <v>3.9324199198877374</v>
      </c>
      <c r="G7" s="20">
        <f t="shared" si="2"/>
        <v>-0.93241991988773743</v>
      </c>
    </row>
    <row r="8" spans="1:19" x14ac:dyDescent="0.3">
      <c r="B8" s="38">
        <f>IF(ISBLANK(C8),"",MAX(B$6:B7)+1)</f>
        <v>2</v>
      </c>
      <c r="C8" s="12">
        <v>45101</v>
      </c>
      <c r="D8" s="19">
        <v>3</v>
      </c>
      <c r="E8" s="20">
        <f t="shared" si="0"/>
        <v>1.5</v>
      </c>
      <c r="F8" s="20">
        <f t="shared" si="1"/>
        <v>3.9324199198877374</v>
      </c>
      <c r="G8" s="20">
        <f t="shared" si="2"/>
        <v>-0.93241991988773743</v>
      </c>
    </row>
    <row r="9" spans="1:19" x14ac:dyDescent="0.3">
      <c r="B9" s="38">
        <f>IF(ISBLANK(C9),"",MAX(B$6:B8)+1)</f>
        <v>3</v>
      </c>
      <c r="C9" s="12">
        <v>45102</v>
      </c>
      <c r="D9" s="19">
        <v>4</v>
      </c>
      <c r="E9" s="20">
        <f t="shared" si="0"/>
        <v>1.5</v>
      </c>
      <c r="F9" s="20">
        <f t="shared" si="1"/>
        <v>3.9324199198877374</v>
      </c>
      <c r="G9" s="20">
        <f t="shared" si="2"/>
        <v>-0.93241991988773743</v>
      </c>
    </row>
    <row r="10" spans="1:19" x14ac:dyDescent="0.3">
      <c r="B10" s="38">
        <f>IF(ISBLANK(C10),"",MAX(B$6:B9)+1)</f>
        <v>4</v>
      </c>
      <c r="C10" s="12">
        <v>45103</v>
      </c>
      <c r="D10" s="19">
        <v>5</v>
      </c>
      <c r="E10" s="20">
        <f t="shared" si="0"/>
        <v>1.5</v>
      </c>
      <c r="F10" s="20">
        <f t="shared" si="1"/>
        <v>3.9324199198877374</v>
      </c>
      <c r="G10" s="20">
        <f t="shared" si="2"/>
        <v>-0.93241991988773743</v>
      </c>
    </row>
    <row r="11" spans="1:19" x14ac:dyDescent="0.3">
      <c r="B11" s="38">
        <f>IF(ISBLANK(C11),"",MAX(B$6:B10)+1)</f>
        <v>5</v>
      </c>
      <c r="C11" s="12">
        <v>45104</v>
      </c>
      <c r="D11" s="19">
        <v>5</v>
      </c>
      <c r="E11" s="20">
        <f t="shared" si="0"/>
        <v>1.5</v>
      </c>
      <c r="F11" s="20">
        <f t="shared" si="1"/>
        <v>3.9324199198877374</v>
      </c>
      <c r="G11" s="20">
        <f t="shared" si="2"/>
        <v>-0.93241991988773743</v>
      </c>
    </row>
    <row r="12" spans="1:19" x14ac:dyDescent="0.3">
      <c r="B12" s="38">
        <f>IF(ISBLANK(C12),"",MAX(B$6:B10)+1)</f>
        <v>5</v>
      </c>
      <c r="C12" s="12">
        <v>45105</v>
      </c>
      <c r="D12" s="19">
        <v>3</v>
      </c>
      <c r="E12" s="20">
        <f t="shared" si="0"/>
        <v>1.5</v>
      </c>
      <c r="F12" s="20">
        <f t="shared" si="1"/>
        <v>3.9324199198877374</v>
      </c>
      <c r="G12" s="20">
        <f t="shared" si="2"/>
        <v>-0.93241991988773743</v>
      </c>
    </row>
    <row r="13" spans="1:19" x14ac:dyDescent="0.3">
      <c r="B13" s="38">
        <f>IF(ISBLANK(C13),"",MAX(B$6:B12)+1)</f>
        <v>6</v>
      </c>
      <c r="C13" s="12">
        <v>45106</v>
      </c>
      <c r="D13" s="19">
        <v>2</v>
      </c>
      <c r="E13" s="20">
        <f t="shared" si="0"/>
        <v>1.5</v>
      </c>
      <c r="F13" s="20">
        <f t="shared" si="1"/>
        <v>3.9324199198877374</v>
      </c>
      <c r="G13" s="20">
        <f t="shared" si="2"/>
        <v>-0.93241991988773743</v>
      </c>
    </row>
    <row r="14" spans="1:19" x14ac:dyDescent="0.3">
      <c r="B14" s="38">
        <f>IF(ISBLANK(C14),"",MAX(B$6:B13)+1)</f>
        <v>7</v>
      </c>
      <c r="C14" s="12">
        <v>45107</v>
      </c>
      <c r="D14" s="19">
        <v>-1</v>
      </c>
      <c r="E14" s="20">
        <f t="shared" si="0"/>
        <v>1.5</v>
      </c>
      <c r="F14" s="20">
        <f t="shared" si="1"/>
        <v>3.9324199198877374</v>
      </c>
      <c r="G14" s="20">
        <f t="shared" si="2"/>
        <v>-0.93241991988773743</v>
      </c>
    </row>
    <row r="15" spans="1:19" x14ac:dyDescent="0.3">
      <c r="B15" s="38">
        <f>IF(ISBLANK(C15),"",MAX(B$6:B14)+1)</f>
        <v>8</v>
      </c>
      <c r="C15" s="12">
        <v>45108</v>
      </c>
      <c r="D15" s="19">
        <v>-2</v>
      </c>
      <c r="E15" s="20">
        <f t="shared" si="0"/>
        <v>1.5</v>
      </c>
      <c r="F15" s="20">
        <f t="shared" si="1"/>
        <v>3.9324199198877374</v>
      </c>
      <c r="G15" s="20">
        <f t="shared" si="2"/>
        <v>-0.93241991988773743</v>
      </c>
    </row>
    <row r="16" spans="1:19" x14ac:dyDescent="0.3">
      <c r="B16" s="38">
        <f>IF(ISBLANK(C16),"",MAX(B$6:B15)+1)</f>
        <v>9</v>
      </c>
      <c r="C16" s="12">
        <v>45109</v>
      </c>
      <c r="D16" s="19">
        <v>-2</v>
      </c>
      <c r="E16" s="20">
        <f t="shared" si="0"/>
        <v>1.5</v>
      </c>
      <c r="F16" s="20">
        <f t="shared" si="1"/>
        <v>3.9324199198877374</v>
      </c>
      <c r="G16" s="20">
        <f t="shared" si="2"/>
        <v>-0.93241991988773743</v>
      </c>
    </row>
    <row r="17" spans="2:7" x14ac:dyDescent="0.3">
      <c r="B17" s="38">
        <f>IF(ISBLANK(C17),"",MAX(B$6:B16)+1)</f>
        <v>10</v>
      </c>
      <c r="C17" s="12">
        <v>45110</v>
      </c>
      <c r="D17" s="19">
        <v>0</v>
      </c>
      <c r="E17" s="20">
        <f t="shared" si="0"/>
        <v>1.5</v>
      </c>
      <c r="F17" s="20">
        <f t="shared" si="1"/>
        <v>3.9324199198877374</v>
      </c>
      <c r="G17" s="20">
        <f t="shared" si="2"/>
        <v>-0.93241991988773743</v>
      </c>
    </row>
    <row r="18" spans="2:7" x14ac:dyDescent="0.3">
      <c r="B18" s="38">
        <f>IF(ISBLANK(C18),"",MAX(B$6:B17)+1)</f>
        <v>11</v>
      </c>
      <c r="C18" s="12">
        <v>45111</v>
      </c>
      <c r="D18" s="19">
        <v>1</v>
      </c>
      <c r="E18" s="20">
        <f t="shared" si="0"/>
        <v>1.5</v>
      </c>
      <c r="F18" s="20">
        <f t="shared" si="1"/>
        <v>3.9324199198877374</v>
      </c>
      <c r="G18" s="20">
        <f t="shared" si="2"/>
        <v>-0.93241991988773743</v>
      </c>
    </row>
    <row r="19" spans="2:7" x14ac:dyDescent="0.3">
      <c r="B19" s="38" t="str">
        <f>IF(ISBLANK(C19),"",MAX(B$6:B18)+1)</f>
        <v/>
      </c>
      <c r="C19" s="12"/>
      <c r="D19" s="19"/>
      <c r="E19" s="20">
        <f t="shared" si="0"/>
        <v>1.5</v>
      </c>
      <c r="F19" s="20">
        <f t="shared" si="1"/>
        <v>3.9324199198877374</v>
      </c>
      <c r="G19" s="20">
        <f t="shared" si="2"/>
        <v>-0.93241991988773743</v>
      </c>
    </row>
    <row r="20" spans="2:7" ht="13.95" customHeight="1" x14ac:dyDescent="0.3">
      <c r="B20" s="38" t="str">
        <f>IF(ISBLANK(C20),"",MAX(B$6:B19)+1)</f>
        <v/>
      </c>
      <c r="C20" s="12"/>
      <c r="D20" s="19"/>
      <c r="E20" s="20">
        <f t="shared" si="0"/>
        <v>1.5</v>
      </c>
      <c r="F20" s="20">
        <f t="shared" si="1"/>
        <v>3.9324199198877374</v>
      </c>
      <c r="G20" s="20">
        <f t="shared" si="2"/>
        <v>-0.93241991988773743</v>
      </c>
    </row>
    <row r="21" spans="2:7" ht="13.95" customHeight="1" x14ac:dyDescent="0.3">
      <c r="B21" s="38" t="str">
        <f>IF(ISBLANK(C21),"",MAX(B$6:B20)+1)</f>
        <v/>
      </c>
      <c r="C21" s="12"/>
      <c r="D21" s="19"/>
      <c r="E21" s="20">
        <f t="shared" ref="E21:E27" si="3">D$30</f>
        <v>1.5</v>
      </c>
      <c r="F21" s="20">
        <f t="shared" ref="F21:F27" si="4">D$32</f>
        <v>3.9324199198877374</v>
      </c>
      <c r="G21" s="20">
        <f t="shared" si="2"/>
        <v>-0.93241991988773743</v>
      </c>
    </row>
    <row r="22" spans="2:7" ht="13.95" customHeight="1" x14ac:dyDescent="0.3">
      <c r="B22" s="38" t="str">
        <f>IF(ISBLANK(C22),"",MAX(B$6:B21)+1)</f>
        <v/>
      </c>
      <c r="C22" s="12"/>
      <c r="D22" s="19"/>
      <c r="E22" s="20">
        <f t="shared" si="3"/>
        <v>1.5</v>
      </c>
      <c r="F22" s="20">
        <f t="shared" si="4"/>
        <v>3.9324199198877374</v>
      </c>
      <c r="G22" s="20">
        <f t="shared" si="2"/>
        <v>-0.93241991988773743</v>
      </c>
    </row>
    <row r="23" spans="2:7" ht="13.95" customHeight="1" x14ac:dyDescent="0.3">
      <c r="B23" s="38" t="str">
        <f>IF(ISBLANK(C23),"",MAX(B$6:B22)+1)</f>
        <v/>
      </c>
      <c r="C23" s="12"/>
      <c r="D23" s="19"/>
      <c r="E23" s="20">
        <f t="shared" si="3"/>
        <v>1.5</v>
      </c>
      <c r="F23" s="20">
        <f t="shared" si="4"/>
        <v>3.9324199198877374</v>
      </c>
      <c r="G23" s="20">
        <f t="shared" si="2"/>
        <v>-0.93241991988773743</v>
      </c>
    </row>
    <row r="24" spans="2:7" ht="13.95" customHeight="1" x14ac:dyDescent="0.3">
      <c r="B24" s="38" t="str">
        <f>IF(ISBLANK(C24),"",MAX(B$6:B23)+1)</f>
        <v/>
      </c>
      <c r="C24" s="12"/>
      <c r="D24" s="19"/>
      <c r="E24" s="20">
        <f t="shared" si="3"/>
        <v>1.5</v>
      </c>
      <c r="F24" s="20">
        <f t="shared" si="4"/>
        <v>3.9324199198877374</v>
      </c>
      <c r="G24" s="20">
        <f t="shared" si="2"/>
        <v>-0.93241991988773743</v>
      </c>
    </row>
    <row r="25" spans="2:7" ht="13.95" customHeight="1" x14ac:dyDescent="0.3">
      <c r="B25" s="38" t="str">
        <f>IF(ISBLANK(C25),"",MAX(B$6:B24)+1)</f>
        <v/>
      </c>
      <c r="C25" s="12"/>
      <c r="D25" s="19"/>
      <c r="E25" s="20">
        <f t="shared" si="3"/>
        <v>1.5</v>
      </c>
      <c r="F25" s="20">
        <f t="shared" si="4"/>
        <v>3.9324199198877374</v>
      </c>
      <c r="G25" s="20">
        <f t="shared" si="2"/>
        <v>-0.93241991988773743</v>
      </c>
    </row>
    <row r="26" spans="2:7" ht="13.95" customHeight="1" x14ac:dyDescent="0.3">
      <c r="B26" s="38" t="str">
        <f>IF(ISBLANK(C26),"",MAX(B$6:B25)+1)</f>
        <v/>
      </c>
      <c r="C26" s="12"/>
      <c r="D26" s="19"/>
      <c r="E26" s="20">
        <f t="shared" si="3"/>
        <v>1.5</v>
      </c>
      <c r="F26" s="20">
        <f t="shared" si="4"/>
        <v>3.9324199198877374</v>
      </c>
      <c r="G26" s="20">
        <f t="shared" si="2"/>
        <v>-0.93241991988773743</v>
      </c>
    </row>
    <row r="27" spans="2:7" ht="13.95" customHeight="1" x14ac:dyDescent="0.3">
      <c r="B27" s="38" t="str">
        <f>IF(ISBLANK(C27),"",MAX(B$6:B26)+1)</f>
        <v/>
      </c>
      <c r="C27" s="12"/>
      <c r="D27" s="19"/>
      <c r="E27" s="20">
        <f t="shared" si="3"/>
        <v>1.5</v>
      </c>
      <c r="F27" s="20">
        <f t="shared" si="4"/>
        <v>3.9324199198877374</v>
      </c>
      <c r="G27" s="20">
        <f t="shared" si="2"/>
        <v>-0.93241991988773743</v>
      </c>
    </row>
    <row r="28" spans="2:7" ht="13.95" customHeight="1" x14ac:dyDescent="0.3">
      <c r="B28" s="39" t="str">
        <f>IF(ISBLANK(C28),"",MAX(B$6:B27)+1)</f>
        <v/>
      </c>
      <c r="C28" s="28"/>
      <c r="D28" s="29"/>
      <c r="E28" s="30">
        <f>D$30</f>
        <v>1.5</v>
      </c>
      <c r="F28" s="30">
        <f>D$32</f>
        <v>3.9324199198877374</v>
      </c>
      <c r="G28" s="30">
        <f t="shared" si="2"/>
        <v>-0.93241991988773743</v>
      </c>
    </row>
    <row r="29" spans="2:7" ht="13.95" customHeight="1" x14ac:dyDescent="0.3"/>
    <row r="30" spans="2:7" ht="13.95" customHeight="1" x14ac:dyDescent="0.3">
      <c r="B30" s="21"/>
      <c r="C30" s="22" t="s">
        <v>8</v>
      </c>
      <c r="D30" s="23">
        <f>AVERAGE(D6:D28)</f>
        <v>1.5</v>
      </c>
      <c r="E30" s="13"/>
    </row>
    <row r="31" spans="2:7" ht="13.95" customHeight="1" x14ac:dyDescent="0.3">
      <c r="B31" s="21"/>
      <c r="C31" s="22" t="s">
        <v>9</v>
      </c>
      <c r="D31" s="23">
        <f>_xlfn.STDEV.P(D6:D28)</f>
        <v>2.4324199198877374</v>
      </c>
      <c r="E31" s="16"/>
    </row>
    <row r="32" spans="2:7" ht="13.95" customHeight="1" x14ac:dyDescent="0.3">
      <c r="C32" s="24" t="s">
        <v>6</v>
      </c>
      <c r="D32" s="25">
        <f>D30+D31</f>
        <v>3.9324199198877374</v>
      </c>
      <c r="E32" s="13"/>
    </row>
    <row r="33" spans="2:6" ht="13.95" customHeight="1" x14ac:dyDescent="0.3">
      <c r="C33" s="24" t="s">
        <v>7</v>
      </c>
      <c r="D33" s="25">
        <f>D30-D31</f>
        <v>-0.93241991988773743</v>
      </c>
      <c r="E33" s="13"/>
    </row>
    <row r="34" spans="2:6" ht="13.95" customHeight="1" x14ac:dyDescent="0.3"/>
    <row r="35" spans="2:6" ht="13.95" customHeight="1" x14ac:dyDescent="0.3"/>
    <row r="36" spans="2:6" ht="13.95" customHeight="1" x14ac:dyDescent="0.3">
      <c r="B36" s="7"/>
      <c r="C36" s="6" t="s">
        <v>0</v>
      </c>
    </row>
    <row r="37" spans="2:6" ht="13.95" customHeight="1" x14ac:dyDescent="0.3">
      <c r="B37" s="8" t="s">
        <v>2</v>
      </c>
      <c r="C37" s="9" t="s">
        <v>13</v>
      </c>
      <c r="D37" s="10"/>
    </row>
    <row r="38" spans="2:6" ht="13.95" customHeight="1" x14ac:dyDescent="0.3">
      <c r="B38" s="8" t="s">
        <v>2</v>
      </c>
      <c r="C38" s="10" t="s">
        <v>14</v>
      </c>
    </row>
    <row r="39" spans="2:6" ht="13.95" customHeight="1" x14ac:dyDescent="0.3">
      <c r="B39" s="8" t="s">
        <v>2</v>
      </c>
      <c r="C39" s="9" t="s">
        <v>17</v>
      </c>
    </row>
    <row r="40" spans="2:6" ht="13.95" customHeight="1" x14ac:dyDescent="0.3">
      <c r="B40" s="8" t="s">
        <v>2</v>
      </c>
      <c r="C40" s="10" t="s">
        <v>15</v>
      </c>
    </row>
    <row r="41" spans="2:6" ht="13.95" customHeight="1" x14ac:dyDescent="0.3">
      <c r="B41" s="8" t="s">
        <v>2</v>
      </c>
      <c r="C41" s="10" t="s">
        <v>16</v>
      </c>
    </row>
    <row r="42" spans="2:6" ht="13.95" customHeight="1" x14ac:dyDescent="0.3">
      <c r="B42" s="8" t="s">
        <v>2</v>
      </c>
      <c r="C42" s="10" t="s">
        <v>25</v>
      </c>
    </row>
    <row r="43" spans="2:6" ht="13.95" customHeight="1" x14ac:dyDescent="0.3">
      <c r="B43" s="8" t="s">
        <v>2</v>
      </c>
      <c r="C43" s="10" t="s">
        <v>26</v>
      </c>
    </row>
    <row r="44" spans="2:6" x14ac:dyDescent="0.3">
      <c r="B44" s="8" t="s">
        <v>2</v>
      </c>
      <c r="C44" s="10" t="s">
        <v>28</v>
      </c>
    </row>
    <row r="47" spans="2:6" x14ac:dyDescent="0.3">
      <c r="C47" s="14"/>
      <c r="D47" s="14"/>
      <c r="E47" s="14"/>
      <c r="F47" s="14"/>
    </row>
    <row r="48" spans="2:6" x14ac:dyDescent="0.3">
      <c r="C48" s="15"/>
      <c r="D48" s="15"/>
      <c r="E48" s="15"/>
      <c r="F48" s="15"/>
    </row>
    <row r="50" spans="3:3" x14ac:dyDescent="0.3">
      <c r="C50" s="1"/>
    </row>
  </sheetData>
  <mergeCells count="1">
    <mergeCell ref="D3:G3"/>
  </mergeCells>
  <pageMargins left="0.7" right="0.7" top="0.75" bottom="0.75" header="0.3" footer="0.3"/>
  <pageSetup paperSize="9" scale="75" orientation="landscape" horizontalDpi="4294967293" r:id="rId1"/>
  <ignoredErrors>
    <ignoredError sqref="B6:B20 B21:B28" calculatedColum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31"/>
      <c r="B1" s="32" t="s">
        <v>22</v>
      </c>
      <c r="C1" s="31"/>
    </row>
    <row r="2" spans="1:3" ht="15" x14ac:dyDescent="0.3">
      <c r="A2" s="33"/>
      <c r="B2" s="33"/>
      <c r="C2" s="34"/>
    </row>
    <row r="3" spans="1:3" ht="19.2" customHeight="1" x14ac:dyDescent="0.3">
      <c r="A3" s="33"/>
      <c r="B3" s="33" t="s">
        <v>29</v>
      </c>
      <c r="C3" s="34"/>
    </row>
    <row r="4" spans="1:3" ht="15" x14ac:dyDescent="0.3">
      <c r="A4" s="33"/>
      <c r="B4" s="33"/>
      <c r="C4" s="34"/>
    </row>
    <row r="5" spans="1:3" ht="45" x14ac:dyDescent="0.3">
      <c r="A5" s="33"/>
      <c r="B5" s="35" t="s">
        <v>18</v>
      </c>
      <c r="C5" s="34"/>
    </row>
    <row r="6" spans="1:3" ht="15" x14ac:dyDescent="0.3">
      <c r="A6" s="33"/>
      <c r="B6" s="33"/>
      <c r="C6" s="34"/>
    </row>
    <row r="7" spans="1:3" ht="30" x14ac:dyDescent="0.3">
      <c r="A7" s="33"/>
      <c r="B7" s="35" t="s">
        <v>19</v>
      </c>
      <c r="C7" s="34"/>
    </row>
    <row r="8" spans="1:3" ht="15" x14ac:dyDescent="0.3">
      <c r="A8" s="33"/>
      <c r="B8" s="33"/>
      <c r="C8" s="34"/>
    </row>
    <row r="9" spans="1:3" ht="45.6" x14ac:dyDescent="0.3">
      <c r="A9" s="33"/>
      <c r="B9" s="35" t="s">
        <v>20</v>
      </c>
      <c r="C9" s="34"/>
    </row>
    <row r="10" spans="1:3" ht="15" x14ac:dyDescent="0.3">
      <c r="A10" s="33"/>
      <c r="B10" s="33"/>
      <c r="C10" s="34"/>
    </row>
    <row r="11" spans="1:3" ht="15" x14ac:dyDescent="0.3">
      <c r="A11" s="33"/>
      <c r="B11" s="33" t="s">
        <v>24</v>
      </c>
      <c r="C11" s="34"/>
    </row>
    <row r="12" spans="1:3" ht="15" x14ac:dyDescent="0.3">
      <c r="A12" s="33"/>
      <c r="B12" s="33"/>
      <c r="C12" s="34"/>
    </row>
    <row r="13" spans="1:3" ht="24" customHeight="1" thickBot="1" x14ac:dyDescent="0.35">
      <c r="A13" s="33"/>
      <c r="B13" s="36" t="s">
        <v>23</v>
      </c>
      <c r="C13" s="34"/>
    </row>
    <row r="14" spans="1:3" ht="15" x14ac:dyDescent="0.3">
      <c r="A14" s="33"/>
      <c r="B14" s="33"/>
      <c r="C14" s="34"/>
    </row>
    <row r="15" spans="1:3" ht="90" x14ac:dyDescent="0.3">
      <c r="A15" s="33"/>
      <c r="B15" s="35" t="s">
        <v>21</v>
      </c>
      <c r="C15" s="34"/>
    </row>
    <row r="16" spans="1:3" ht="15" x14ac:dyDescent="0.3">
      <c r="A16" s="33"/>
      <c r="B16" s="33"/>
      <c r="C16" s="34"/>
    </row>
    <row r="17" spans="1:3" ht="15" x14ac:dyDescent="0.3">
      <c r="A17" s="33"/>
      <c r="B17" s="33"/>
      <c r="C17" s="34"/>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Control Chart</vt:lpstr>
      <vt:lpstr>©</vt:lpstr>
      <vt:lpstr>'Control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2024-03-13T02:04:46Z</dcterms:created>
  <dcterms:modified xsi:type="dcterms:W3CDTF">2024-03-13T02:04:54Z</dcterms:modified>
</cp:coreProperties>
</file>