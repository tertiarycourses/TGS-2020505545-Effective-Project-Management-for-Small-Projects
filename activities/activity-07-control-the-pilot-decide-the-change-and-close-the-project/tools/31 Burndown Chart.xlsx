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0" documentId="13_ncr:1_{F9CC8253-A48D-4E47-9BBD-3281B276D019}" xr6:coauthVersionLast="47" xr6:coauthVersionMax="47" xr10:uidLastSave="{00000000-0000-0000-0000-000000000000}"/>
  <bookViews>
    <workbookView xWindow="-108" yWindow="-108" windowWidth="23256" windowHeight="12576" xr2:uid="{00000000-000D-0000-FFFF-FFFF00000000}"/>
  </bookViews>
  <sheets>
    <sheet name="Sprint Burndown Chart" sheetId="2" r:id="rId1"/>
    <sheet name="©" sheetId="3" r:id="rId2"/>
  </sheets>
  <definedNames>
    <definedName name="_xlnm.Print_Area" localSheetId="0">'Sprint Burndown Chart'!$B$1:$N$30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1" i="2" l="1"/>
  <c r="I20" i="2"/>
  <c r="F22" i="2" l="1"/>
  <c r="G22" i="2"/>
  <c r="H22" i="2"/>
  <c r="I22" i="2"/>
  <c r="J22" i="2"/>
  <c r="K22" i="2"/>
  <c r="L22" i="2"/>
  <c r="M22" i="2"/>
  <c r="N22" i="2"/>
  <c r="E22" i="2"/>
  <c r="E5" i="2" l="1"/>
  <c r="F5" i="2" s="1"/>
  <c r="G5" i="2" s="1"/>
  <c r="H5" i="2" s="1"/>
  <c r="I5" i="2" s="1"/>
  <c r="J5" i="2" s="1"/>
  <c r="K5" i="2" s="1"/>
  <c r="L5" i="2" s="1"/>
  <c r="M5" i="2" s="1"/>
  <c r="N5" i="2" s="1"/>
  <c r="D19" i="2" l="1"/>
  <c r="D20" i="2" s="1"/>
  <c r="E20" i="2" s="1"/>
  <c r="F20" i="2" s="1"/>
  <c r="G20" i="2" s="1"/>
  <c r="H20" i="2" s="1"/>
  <c r="J20" i="2" s="1"/>
  <c r="K20" i="2" s="1"/>
  <c r="L20" i="2" s="1"/>
  <c r="M20" i="2" s="1"/>
  <c r="N20" i="2" s="1"/>
  <c r="E19" i="2" l="1"/>
  <c r="F19" i="2" l="1"/>
  <c r="G19" i="2" s="1"/>
  <c r="H19" i="2" s="1"/>
  <c r="I19" i="2" s="1"/>
  <c r="J19" i="2" s="1"/>
  <c r="K19" i="2" s="1"/>
  <c r="L19" i="2" s="1"/>
  <c r="M19" i="2" s="1"/>
  <c r="N19" i="2" s="1"/>
</calcChain>
</file>

<file path=xl/sharedStrings.xml><?xml version="1.0" encoding="utf-8"?>
<sst xmlns="http://schemas.openxmlformats.org/spreadsheetml/2006/main" count="35" uniqueCount="35">
  <si>
    <t>Sprint Burndown Chart</t>
  </si>
  <si>
    <t>Backlog Item ID</t>
  </si>
  <si>
    <t>Initial 
Estimate</t>
  </si>
  <si>
    <t>Day 1</t>
  </si>
  <si>
    <t>Day 2</t>
  </si>
  <si>
    <t>Day 3</t>
  </si>
  <si>
    <t>Day 4</t>
  </si>
  <si>
    <t>Day 5</t>
  </si>
  <si>
    <t>Day 6</t>
  </si>
  <si>
    <t>Day 7</t>
  </si>
  <si>
    <t>Day 8</t>
  </si>
  <si>
    <t>Day 9</t>
  </si>
  <si>
    <t>Day 10</t>
  </si>
  <si>
    <t>Remaining Effort</t>
  </si>
  <si>
    <t>Ideal Trend</t>
  </si>
  <si>
    <t>An amazing feature</t>
  </si>
  <si>
    <t>Usability feature</t>
  </si>
  <si>
    <t>Testing card</t>
  </si>
  <si>
    <t>Spike / research</t>
  </si>
  <si>
    <t>Another feature</t>
  </si>
  <si>
    <t>Sprint start date:</t>
  </si>
  <si>
    <t>Story Cards</t>
  </si>
  <si>
    <t>◄ Insert more rows for more story cards</t>
  </si>
  <si>
    <t>Sprint #</t>
  </si>
  <si>
    <t>◄ Enter the Sprint start date and sprint number</t>
  </si>
  <si>
    <t>Points Completed this Sprint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</si>
  <si>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</si>
  <si>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</si>
  <si>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</si>
  <si>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</si>
  <si>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</si>
  <si>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Sprint Backlog Template</t>
  </si>
  <si>
    <t>Do not delete this worksheet.</t>
  </si>
  <si>
    <r>
      <t xml:space="preserve">◄ Add </t>
    </r>
    <r>
      <rPr>
        <sz val="11"/>
        <color rgb="FFC00000"/>
        <rFont val="Calibri"/>
        <family val="2"/>
      </rPr>
      <t>negative</t>
    </r>
    <r>
      <rPr>
        <sz val="11"/>
        <color theme="1"/>
        <rFont val="Calibri"/>
        <family val="2"/>
      </rPr>
      <t xml:space="preserve"> values to show effort above the estimate ( or, you can increase the Initial Estimate)</t>
    </r>
  </si>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</sst>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dd\-mmm\-yy;@"/>
    <numFmt numFmtId="165" formatCode="dd\ mmm\ yyyy"/>
  </numFmts>
  <fonts count="27">
    <font>
      <sz val="11"/>
      <color theme="1"/>
      <name val="Calibri"/>
      <family val="2"/>
      <scheme val="minor"/>
    </font>
    <font>
      <b/>
      <sz val="9"/>
      <color theme="0"/>
      <name val="Century Gothic"/>
      <family val="1"/>
    </font>
    <font>
      <sz val="11"/>
      <color theme="1"/>
      <name val="Calibri"/>
      <family val="2"/>
      <scheme val="minor"/>
    </font>
    <font>
      <sz val="11"/>
      <color theme="0"/>
      <name val="Calibri"/>
      <family val="2"/>
      <scheme val="minor"/>
    </font>
    <font>
      <sz val="8"/>
      <color theme="1"/>
      <name val="Century Gothic"/>
      <family val="2"/>
    </font>
    <font>
      <b/>
      <sz val="11"/>
      <color theme="0"/>
      <name val="Century Gothic"/>
      <family val="2"/>
    </font>
    <font>
      <sz val="14"/>
      <color theme="1"/>
      <name val="Calibri"/>
      <family val="2"/>
      <scheme val="minor"/>
    </font>
    <font>
      <b/>
      <sz val="11"/>
      <color theme="1"/>
      <name val="Century Gothic"/>
      <family val="2"/>
    </font>
    <font>
      <sz val="11"/>
      <color theme="1"/>
      <name val="Calibri"/>
      <family val="2"/>
    </font>
    <font>
      <sz val="12"/>
      <color theme="1"/>
      <name val="Calibri"/>
      <family val="2"/>
    </font>
    <font>
      <b/>
      <sz val="12"/>
      <color theme="3"/>
      <name val="Century Gothic"/>
      <family val="1"/>
    </font>
    <font>
      <b/>
      <sz val="11"/>
      <color theme="3"/>
      <name val="Century Gothic"/>
      <family val="1"/>
    </font>
    <font>
      <sz val="14"/>
      <color theme="0"/>
      <name val="Calibri  "/>
    </font>
    <font>
      <sz val="11"/>
      <color rgb="FFC00000"/>
      <name val="Calibri"/>
      <family val="2"/>
    </font>
    <font>
      <sz val="14"/>
      <color theme="0"/>
      <name val="Calibri"/>
      <family val="2"/>
      <scheme val="minor"/>
    </font>
    <font>
      <sz val="8"/>
      <color theme="0" tint="-0.249977111117893"/>
      <name val="Century Gothic"/>
      <family val="2"/>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b/>
      <i/>
      <sz val="20"/>
      <color theme="0"/>
      <name val="Century Gothic"/>
      <family val="2"/>
    </font>
    <font>
      <b/>
      <sz val="20"/>
      <color theme="0"/>
      <name val="Century Gothic"/>
      <family val="2"/>
    </font>
    <font>
      <b/>
      <i/>
      <sz val="10"/>
      <color theme="0"/>
      <name val="Century Gothic"/>
      <family val="2"/>
    </font>
    <font>
      <sz val="11"/>
      <color theme="1" tint="0.249977111117893"/>
      <name val="Century Gothic"/>
      <family val="2"/>
    </font>
    <font>
      <b/>
      <sz val="11"/>
      <color theme="1" tint="0.249977111117893"/>
      <name val="Century Gothic"/>
      <family val="2"/>
    </font>
  </fonts>
  <fills count="10">
    <fill>
      <patternFill patternType="none"/>
    </fill>
    <fill>
      <patternFill patternType="gray125"/>
    </fill>
    <fill>
      <patternFill patternType="solid">
        <fgColor theme="0"/>
        <bgColor indexed="64"/>
      </patternFill>
    </fill>
    <fill>
      <patternFill patternType="solid">
        <fgColor theme="4"/>
      </patternFill>
    </fill>
    <fill>
      <patternFill patternType="solid">
        <fgColor theme="5" tint="0.59999389629810485"/>
        <bgColor indexed="65"/>
      </patternFill>
    </fill>
    <fill>
      <patternFill patternType="solid">
        <fgColor theme="6" tint="0.79998168889431442"/>
        <bgColor indexed="64"/>
      </patternFill>
    </fill>
    <fill>
      <patternFill patternType="solid">
        <fgColor theme="3"/>
        <bgColor indexed="64"/>
      </patternFill>
    </fill>
    <fill>
      <patternFill patternType="solid">
        <fgColor rgb="FFFDDBB1"/>
        <bgColor indexed="64"/>
      </patternFill>
    </fill>
    <fill>
      <patternFill patternType="solid">
        <fgColor theme="3" tint="0.79998168889431442"/>
        <bgColor indexed="64"/>
      </patternFill>
    </fill>
    <fill>
      <patternFill patternType="solid">
        <fgColor rgb="FF8FB9AB"/>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theme="3"/>
      </bottom>
      <diagonal/>
    </border>
  </borders>
  <cellStyleXfs count="3">
    <xf numFmtId="0" fontId="0" fillId="0" borderId="0"/>
    <xf numFmtId="0" fontId="3" fillId="3" borderId="0" applyNumberFormat="0" applyBorder="0" applyAlignment="0" applyProtection="0"/>
    <xf numFmtId="0" fontId="2" fillId="4" borderId="0" applyNumberFormat="0" applyBorder="0" applyAlignment="0" applyProtection="0"/>
  </cellStyleXfs>
  <cellXfs count="76">
    <xf numFmtId="0" fontId="0" fillId="0" borderId="0" xfId="0"/>
    <xf numFmtId="0" fontId="0" fillId="0" borderId="0" xfId="0" applyAlignment="1">
      <alignment horizontal="center" vertical="center"/>
    </xf>
    <xf numFmtId="0" fontId="1" fillId="0" borderId="0" xfId="0" applyFont="1" applyAlignment="1">
      <alignment horizontal="right" vertical="center" wrapText="1" indent="1"/>
    </xf>
    <xf numFmtId="0" fontId="4" fillId="0" borderId="0" xfId="0" applyFont="1" applyAlignment="1">
      <alignment horizontal="left" vertical="center" wrapText="1" indent="1"/>
    </xf>
    <xf numFmtId="164" fontId="4" fillId="0" borderId="0" xfId="0" applyNumberFormat="1" applyFont="1" applyAlignment="1">
      <alignment horizontal="left" vertical="center" wrapText="1" indent="1"/>
    </xf>
    <xf numFmtId="0" fontId="0" fillId="2" borderId="2" xfId="0" applyFill="1" applyBorder="1"/>
    <xf numFmtId="0" fontId="6" fillId="0" borderId="1" xfId="0" applyFont="1" applyBorder="1" applyAlignment="1">
      <alignment horizontal="center" vertical="center"/>
    </xf>
    <xf numFmtId="0" fontId="6" fillId="0" borderId="16" xfId="0" applyFont="1" applyBorder="1" applyAlignment="1">
      <alignment horizontal="center" vertical="center"/>
    </xf>
    <xf numFmtId="0" fontId="6" fillId="0" borderId="3" xfId="0" applyFont="1" applyBorder="1" applyAlignment="1">
      <alignment horizontal="center" vertical="center"/>
    </xf>
    <xf numFmtId="1" fontId="6" fillId="5" borderId="5" xfId="0" applyNumberFormat="1" applyFont="1" applyFill="1" applyBorder="1" applyAlignment="1">
      <alignment horizontal="center" vertical="center"/>
    </xf>
    <xf numFmtId="0" fontId="0" fillId="0" borderId="1" xfId="0" applyBorder="1" applyAlignment="1">
      <alignment horizontal="right" vertical="center" wrapText="1" indent="1"/>
    </xf>
    <xf numFmtId="0" fontId="0" fillId="0" borderId="18" xfId="0" applyBorder="1" applyAlignment="1">
      <alignment horizontal="right" vertical="center" wrapText="1" indent="1"/>
    </xf>
    <xf numFmtId="0" fontId="0" fillId="0" borderId="15" xfId="0" applyBorder="1" applyAlignment="1">
      <alignment horizontal="center" vertical="center"/>
    </xf>
    <xf numFmtId="0" fontId="0" fillId="0" borderId="17" xfId="0" applyBorder="1" applyAlignment="1">
      <alignment horizontal="center" vertical="center"/>
    </xf>
    <xf numFmtId="0" fontId="9" fillId="0" borderId="0" xfId="0" applyFont="1" applyAlignment="1">
      <alignment vertical="center"/>
    </xf>
    <xf numFmtId="0" fontId="0" fillId="0" borderId="24" xfId="0" applyBorder="1" applyAlignment="1">
      <alignment horizontal="center" vertical="center"/>
    </xf>
    <xf numFmtId="0" fontId="0" fillId="0" borderId="25" xfId="0" applyBorder="1" applyAlignment="1">
      <alignment horizontal="right" vertical="center" wrapText="1" indent="1"/>
    </xf>
    <xf numFmtId="0" fontId="6" fillId="0" borderId="25" xfId="0" applyFont="1" applyBorder="1" applyAlignment="1">
      <alignment horizontal="center" vertical="center"/>
    </xf>
    <xf numFmtId="0" fontId="6" fillId="0" borderId="26" xfId="0" applyFont="1" applyBorder="1" applyAlignment="1">
      <alignment horizontal="center" vertical="center"/>
    </xf>
    <xf numFmtId="1" fontId="6" fillId="5" borderId="6" xfId="0" applyNumberFormat="1" applyFont="1" applyFill="1" applyBorder="1" applyAlignment="1">
      <alignment horizontal="center" vertical="center"/>
    </xf>
    <xf numFmtId="0" fontId="8" fillId="0" borderId="0" xfId="0" applyFont="1" applyAlignment="1">
      <alignment vertical="center"/>
    </xf>
    <xf numFmtId="0" fontId="0" fillId="2" borderId="22" xfId="0" applyFill="1" applyBorder="1"/>
    <xf numFmtId="0" fontId="7" fillId="2" borderId="30" xfId="0" applyFont="1" applyFill="1" applyBorder="1" applyAlignment="1">
      <alignment horizontal="right" vertical="center" indent="1"/>
    </xf>
    <xf numFmtId="0" fontId="7" fillId="2" borderId="31" xfId="0" applyFont="1" applyFill="1" applyBorder="1" applyAlignment="1">
      <alignment horizontal="right" vertical="center" wrapText="1" indent="1"/>
    </xf>
    <xf numFmtId="164" fontId="4" fillId="0" borderId="20" xfId="0" applyNumberFormat="1" applyFont="1" applyBorder="1" applyAlignment="1">
      <alignment horizontal="left" vertical="center" wrapText="1" indent="1"/>
    </xf>
    <xf numFmtId="0" fontId="0" fillId="0" borderId="20" xfId="0" applyBorder="1"/>
    <xf numFmtId="0" fontId="0" fillId="0" borderId="20" xfId="0" applyBorder="1" applyAlignment="1">
      <alignment horizontal="center" vertical="center"/>
    </xf>
    <xf numFmtId="0" fontId="0" fillId="0" borderId="29" xfId="0" applyBorder="1"/>
    <xf numFmtId="1" fontId="6" fillId="5" borderId="33" xfId="0" applyNumberFormat="1" applyFont="1" applyFill="1" applyBorder="1" applyAlignment="1">
      <alignment horizontal="center" vertical="center"/>
    </xf>
    <xf numFmtId="0" fontId="4" fillId="0" borderId="34" xfId="0" applyFont="1" applyBorder="1" applyAlignment="1">
      <alignment horizontal="left" vertical="center" wrapText="1" indent="1"/>
    </xf>
    <xf numFmtId="0" fontId="10" fillId="2" borderId="1" xfId="0" applyFont="1" applyFill="1" applyBorder="1" applyAlignment="1">
      <alignment horizontal="left" vertical="center" wrapText="1" indent="1"/>
    </xf>
    <xf numFmtId="0" fontId="6" fillId="8" borderId="1" xfId="0" applyFont="1" applyFill="1" applyBorder="1" applyAlignment="1">
      <alignment horizontal="center" vertical="center"/>
    </xf>
    <xf numFmtId="0" fontId="6" fillId="8" borderId="25" xfId="0" applyFont="1" applyFill="1" applyBorder="1" applyAlignment="1">
      <alignment horizontal="center" vertical="center"/>
    </xf>
    <xf numFmtId="0" fontId="8" fillId="0" borderId="0" xfId="0" applyFont="1" applyAlignment="1">
      <alignment horizontal="left" vertical="center" indent="1"/>
    </xf>
    <xf numFmtId="0" fontId="0" fillId="0" borderId="0" xfId="0" applyAlignment="1">
      <alignment horizontal="left" indent="1"/>
    </xf>
    <xf numFmtId="0" fontId="12" fillId="6" borderId="4" xfId="0" applyFont="1" applyFill="1" applyBorder="1" applyAlignment="1">
      <alignment horizontal="center" vertical="center" wrapText="1"/>
    </xf>
    <xf numFmtId="0" fontId="14" fillId="9" borderId="21" xfId="2" applyFont="1" applyFill="1" applyBorder="1" applyAlignment="1">
      <alignment horizontal="center" vertical="center"/>
    </xf>
    <xf numFmtId="0" fontId="14" fillId="9" borderId="5" xfId="2" applyFont="1" applyFill="1" applyBorder="1" applyAlignment="1">
      <alignment horizontal="center" vertical="center"/>
    </xf>
    <xf numFmtId="0" fontId="14" fillId="9" borderId="6" xfId="2" applyFont="1" applyFill="1" applyBorder="1" applyAlignment="1">
      <alignment horizontal="center" vertical="center"/>
    </xf>
    <xf numFmtId="0" fontId="15" fillId="0" borderId="0" xfId="0" applyFont="1" applyAlignment="1">
      <alignment horizontal="center" vertical="center" wrapText="1"/>
    </xf>
    <xf numFmtId="0" fontId="16" fillId="6" borderId="0" xfId="0" applyFont="1" applyFill="1"/>
    <xf numFmtId="0" fontId="17" fillId="6"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18" fillId="2" borderId="0" xfId="0" applyFont="1" applyFill="1" applyAlignment="1">
      <alignment vertical="center" wrapText="1"/>
    </xf>
    <xf numFmtId="0" fontId="21" fillId="2" borderId="35" xfId="0" applyFont="1" applyFill="1" applyBorder="1" applyAlignment="1">
      <alignment vertical="center"/>
    </xf>
    <xf numFmtId="0" fontId="23" fillId="6" borderId="2" xfId="0" applyFont="1" applyFill="1" applyBorder="1" applyAlignment="1">
      <alignment horizontal="center" vertical="center" wrapText="1"/>
    </xf>
    <xf numFmtId="0" fontId="23" fillId="6" borderId="0" xfId="0" applyFont="1" applyFill="1" applyAlignment="1">
      <alignment horizontal="center" vertical="center" wrapText="1"/>
    </xf>
    <xf numFmtId="0" fontId="23" fillId="6" borderId="31" xfId="0" applyFont="1" applyFill="1" applyBorder="1" applyAlignment="1">
      <alignment horizontal="center" vertical="center" wrapText="1"/>
    </xf>
    <xf numFmtId="165" fontId="5" fillId="6" borderId="0" xfId="0" applyNumberFormat="1" applyFont="1" applyFill="1" applyAlignment="1">
      <alignment vertical="center" wrapText="1"/>
    </xf>
    <xf numFmtId="0" fontId="5" fillId="6" borderId="0" xfId="0" applyFont="1" applyFill="1" applyAlignment="1">
      <alignment horizontal="center" vertical="center" wrapText="1"/>
    </xf>
    <xf numFmtId="0" fontId="5" fillId="6" borderId="31" xfId="0" applyFont="1" applyFill="1" applyBorder="1" applyAlignment="1">
      <alignment horizontal="center" vertical="center" wrapText="1"/>
    </xf>
    <xf numFmtId="0" fontId="5" fillId="6" borderId="2" xfId="0" applyFont="1" applyFill="1" applyBorder="1" applyAlignment="1">
      <alignment horizontal="right" vertical="center" wrapText="1" indent="1"/>
    </xf>
    <xf numFmtId="16" fontId="26" fillId="7" borderId="9" xfId="1" applyNumberFormat="1" applyFont="1" applyFill="1" applyBorder="1" applyAlignment="1">
      <alignment horizontal="center" vertical="center"/>
    </xf>
    <xf numFmtId="16" fontId="26" fillId="7" borderId="8" xfId="1" applyNumberFormat="1" applyFont="1" applyFill="1" applyBorder="1" applyAlignment="1">
      <alignment horizontal="center" vertical="center"/>
    </xf>
    <xf numFmtId="16" fontId="26" fillId="7" borderId="27" xfId="1" applyNumberFormat="1" applyFont="1" applyFill="1" applyBorder="1" applyAlignment="1">
      <alignment horizontal="center" vertical="center"/>
    </xf>
    <xf numFmtId="0" fontId="26" fillId="7" borderId="12" xfId="1" applyFont="1" applyFill="1" applyBorder="1" applyAlignment="1">
      <alignment horizontal="center" vertical="center"/>
    </xf>
    <xf numFmtId="0" fontId="26" fillId="7" borderId="13" xfId="1" applyFont="1" applyFill="1" applyBorder="1" applyAlignment="1">
      <alignment horizontal="center" vertical="center"/>
    </xf>
    <xf numFmtId="0" fontId="26" fillId="7" borderId="14" xfId="1" applyFont="1" applyFill="1" applyBorder="1" applyAlignment="1">
      <alignment horizontal="center" vertical="center"/>
    </xf>
    <xf numFmtId="0" fontId="22" fillId="6" borderId="22" xfId="0" applyFont="1" applyFill="1" applyBorder="1" applyAlignment="1">
      <alignment horizontal="center" vertical="center" wrapText="1"/>
    </xf>
    <xf numFmtId="0" fontId="22" fillId="6" borderId="23" xfId="0" applyFont="1" applyFill="1" applyBorder="1" applyAlignment="1">
      <alignment horizontal="center" vertical="center" wrapText="1"/>
    </xf>
    <xf numFmtId="0" fontId="22" fillId="6" borderId="30" xfId="0" applyFont="1" applyFill="1" applyBorder="1" applyAlignment="1">
      <alignment horizontal="center" vertical="center" wrapText="1"/>
    </xf>
    <xf numFmtId="0" fontId="25" fillId="7" borderId="8" xfId="1" applyFont="1" applyFill="1" applyBorder="1" applyAlignment="1">
      <alignment horizontal="center" vertical="center" wrapText="1"/>
    </xf>
    <xf numFmtId="0" fontId="25" fillId="7" borderId="11" xfId="1" applyFont="1" applyFill="1" applyBorder="1" applyAlignment="1">
      <alignment horizontal="center" vertical="center" wrapText="1"/>
    </xf>
    <xf numFmtId="0" fontId="24" fillId="6" borderId="2" xfId="0" applyFont="1" applyFill="1" applyBorder="1" applyAlignment="1">
      <alignment horizontal="center" vertical="center" wrapText="1"/>
    </xf>
    <xf numFmtId="0" fontId="23" fillId="6" borderId="0" xfId="0" applyFont="1" applyFill="1" applyAlignment="1">
      <alignment horizontal="center" vertical="center" wrapText="1"/>
    </xf>
    <xf numFmtId="0" fontId="23" fillId="6" borderId="31" xfId="0" applyFont="1" applyFill="1" applyBorder="1" applyAlignment="1">
      <alignment horizontal="center" vertical="center" wrapText="1"/>
    </xf>
    <xf numFmtId="0" fontId="7" fillId="0" borderId="19" xfId="0" applyFont="1" applyBorder="1" applyAlignment="1">
      <alignment horizontal="right" vertical="center" wrapText="1" indent="1"/>
    </xf>
    <xf numFmtId="0" fontId="7" fillId="0" borderId="32" xfId="0" applyFont="1" applyBorder="1" applyAlignment="1">
      <alignment horizontal="right" vertical="center" wrapText="1" indent="1"/>
    </xf>
    <xf numFmtId="0" fontId="5" fillId="6" borderId="0" xfId="0" applyFont="1" applyFill="1" applyAlignment="1">
      <alignment horizontal="center" vertical="center" wrapText="1"/>
    </xf>
    <xf numFmtId="0" fontId="5" fillId="6" borderId="12" xfId="0" applyFont="1" applyFill="1" applyBorder="1" applyAlignment="1">
      <alignment horizontal="center" vertical="center" wrapText="1"/>
    </xf>
    <xf numFmtId="165" fontId="11" fillId="0" borderId="28" xfId="0" applyNumberFormat="1" applyFont="1" applyBorder="1" applyAlignment="1">
      <alignment horizontal="left" vertical="center" wrapText="1" indent="1"/>
    </xf>
    <xf numFmtId="165" fontId="11" fillId="0" borderId="16" xfId="0" applyNumberFormat="1" applyFont="1" applyBorder="1" applyAlignment="1">
      <alignment horizontal="left" vertical="center" wrapText="1" indent="1"/>
    </xf>
    <xf numFmtId="0" fontId="25" fillId="7" borderId="7" xfId="1" applyFont="1" applyFill="1" applyBorder="1" applyAlignment="1">
      <alignment horizontal="center" vertical="center" wrapText="1"/>
    </xf>
    <xf numFmtId="0" fontId="25" fillId="7" borderId="10" xfId="0" applyFont="1" applyFill="1" applyBorder="1" applyAlignment="1">
      <alignment horizontal="center" vertical="center" wrapText="1"/>
    </xf>
    <xf numFmtId="0" fontId="25" fillId="7" borderId="11" xfId="0" applyFont="1" applyFill="1" applyBorder="1" applyAlignment="1">
      <alignment horizontal="center" vertical="center" wrapText="1"/>
    </xf>
  </cellXfs>
  <cellStyles count="3">
    <cellStyle name="40% - Accent2" xfId="2" builtinId="35"/>
    <cellStyle name="Accent1" xfId="1" builtinId="29"/>
    <cellStyle name="Normal" xfId="0" builtinId="0"/>
  </cellStyles>
  <dxfs count="1">
    <dxf>
      <font>
        <color rgb="FFC00000"/>
      </font>
    </dxf>
  </dxfs>
  <tableStyles count="0" defaultTableStyle="TableStyleMedium2" defaultPivotStyle="PivotStyleLight16"/>
  <colors>
    <mruColors>
      <color rgb="FFFDDBB1"/>
      <color rgb="FF8FB9AB"/>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AU" sz="1600"/>
              <a:t>Sprint Burndown Chart</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'Sprint Burndown Chart'!$C$19</c:f>
              <c:strCache>
                <c:ptCount val="1"/>
                <c:pt idx="0">
                  <c:v>Remaining Effort</c:v>
                </c:pt>
              </c:strCache>
            </c:strRef>
          </c:tx>
          <c:spPr>
            <a:ln w="28575" cap="rnd">
              <a:solidFill>
                <a:schemeClr val="accent6"/>
              </a:solidFill>
              <a:round/>
            </a:ln>
            <a:effectLst/>
          </c:spPr>
          <c:marker>
            <c:symbol val="diamond"/>
            <c:size val="6"/>
            <c:spPr>
              <a:solidFill>
                <a:schemeClr val="accent6"/>
              </a:solidFill>
              <a:ln w="9525">
                <a:noFill/>
              </a:ln>
              <a:effectLst/>
            </c:spPr>
          </c:marker>
          <c:cat>
            <c:numRef>
              <c:f>'Sprint Burndown Chart'!$D$22:$N$22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'Sprint Burndown Chart'!$D$19:$N$19</c:f>
              <c:numCache>
                <c:formatCode>General</c:formatCode>
                <c:ptCount val="11"/>
                <c:pt idx="0">
                  <c:v>21</c:v>
                </c:pt>
                <c:pt idx="1">
                  <c:v>18</c:v>
                </c:pt>
                <c:pt idx="2">
                  <c:v>16</c:v>
                </c:pt>
                <c:pt idx="3">
                  <c:v>14</c:v>
                </c:pt>
                <c:pt idx="4">
                  <c:v>17</c:v>
                </c:pt>
                <c:pt idx="5">
                  <c:v>14</c:v>
                </c:pt>
                <c:pt idx="6">
                  <c:v>9</c:v>
                </c:pt>
                <c:pt idx="7">
                  <c:v>6</c:v>
                </c:pt>
                <c:pt idx="8">
                  <c:v>3</c:v>
                </c:pt>
                <c:pt idx="9">
                  <c:v>2</c:v>
                </c:pt>
                <c:pt idx="10">
                  <c:v>0</c:v>
                </c:pt>
              </c:numCache>
            </c:numRef>
          </c:val>
          <c:smooth val="0"/>
          <c:extLst>
            <c:ext xmlns:c16="http://schemas.microsoft.com/office/drawing/2014/chart" uri="{C3380CC4-5D6E-409C-BE32-E72D297353CC}">
              <c16:uniqueId val="{00000000-31B9-4FE3-9DA2-7BE695B826AF}"/>
            </c:ext>
          </c:extLst>
        </c:ser>
        <c:ser>
          <c:idx val="1"/>
          <c:order val="1"/>
          <c:tx>
            <c:strRef>
              <c:f>'Sprint Burndown Chart'!$C$20</c:f>
              <c:strCache>
                <c:ptCount val="1"/>
                <c:pt idx="0">
                  <c:v>Ideal Trend</c:v>
                </c:pt>
              </c:strCache>
            </c:strRef>
          </c:tx>
          <c:spPr>
            <a:ln w="28575" cap="rnd">
              <a:solidFill>
                <a:schemeClr val="tx1">
                  <a:lumMod val="50000"/>
                  <a:lumOff val="50000"/>
                </a:schemeClr>
              </a:solidFill>
              <a:round/>
            </a:ln>
            <a:effectLst/>
          </c:spPr>
          <c:marker>
            <c:symbol val="diamond"/>
            <c:size val="7"/>
            <c:spPr>
              <a:solidFill>
                <a:schemeClr val="tx1">
                  <a:lumMod val="65000"/>
                  <a:lumOff val="35000"/>
                </a:schemeClr>
              </a:solidFill>
              <a:ln w="9525">
                <a:noFill/>
              </a:ln>
              <a:effectLst/>
            </c:spPr>
          </c:marker>
          <c:cat>
            <c:numRef>
              <c:f>'Sprint Burndown Chart'!$D$22:$N$22</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'Sprint Burndown Chart'!$D$20:$N$20</c:f>
              <c:numCache>
                <c:formatCode>0</c:formatCode>
                <c:ptCount val="11"/>
                <c:pt idx="0">
                  <c:v>21</c:v>
                </c:pt>
                <c:pt idx="1">
                  <c:v>18.899999999999999</c:v>
                </c:pt>
                <c:pt idx="2">
                  <c:v>16.799999999999997</c:v>
                </c:pt>
                <c:pt idx="3">
                  <c:v>14.699999999999998</c:v>
                </c:pt>
                <c:pt idx="4">
                  <c:v>12.599999999999998</c:v>
                </c:pt>
                <c:pt idx="5">
                  <c:v>10.499999999999998</c:v>
                </c:pt>
                <c:pt idx="6">
                  <c:v>8.3999999999999986</c:v>
                </c:pt>
                <c:pt idx="7">
                  <c:v>6.2999999999999989</c:v>
                </c:pt>
                <c:pt idx="8">
                  <c:v>4.1999999999999993</c:v>
                </c:pt>
                <c:pt idx="9">
                  <c:v>2.0999999999999992</c:v>
                </c:pt>
                <c:pt idx="10">
                  <c:v>0</c:v>
                </c:pt>
              </c:numCache>
            </c:numRef>
          </c:val>
          <c:smooth val="0"/>
          <c:extLst>
            <c:ext xmlns:c16="http://schemas.microsoft.com/office/drawing/2014/chart" uri="{C3380CC4-5D6E-409C-BE32-E72D297353CC}">
              <c16:uniqueId val="{00000001-31B9-4FE3-9DA2-7BE695B826AF}"/>
            </c:ext>
          </c:extLst>
        </c:ser>
        <c:dLbls>
          <c:showLegendKey val="0"/>
          <c:showVal val="0"/>
          <c:showCatName val="0"/>
          <c:showSerName val="0"/>
          <c:showPercent val="0"/>
          <c:showBubbleSize val="0"/>
        </c:dLbls>
        <c:marker val="1"/>
        <c:smooth val="0"/>
        <c:axId val="163212304"/>
        <c:axId val="163213480"/>
      </c:lineChart>
      <c:catAx>
        <c:axId val="1632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3480"/>
        <c:crosses val="autoZero"/>
        <c:auto val="1"/>
        <c:lblAlgn val="ctr"/>
        <c:lblOffset val="100"/>
        <c:noMultiLvlLbl val="0"/>
      </c:catAx>
      <c:valAx>
        <c:axId val="163213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Total Estimate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21</xdr:row>
      <xdr:rowOff>213360</xdr:rowOff>
    </xdr:from>
    <xdr:to>
      <xdr:col>14</xdr:col>
      <xdr:colOff>7620</xdr:colOff>
      <xdr:row>29</xdr:row>
      <xdr:rowOff>350520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O43"/>
  <sheetViews>
    <sheetView showGridLines="0" tabSelected="1" zoomScaleNormal="100" workbookViewId="0">
      <selection activeCell="A32" sqref="A32"/>
    </sheetView>
  </sheetViews>
  <sheetFormatPr defaultRowHeight="14.4"/>
  <cols>
    <col min="1" max="1" width="3" customWidth="1"/>
    <col min="2" max="2" width="11.88671875" customWidth="1"/>
    <col min="3" max="3" width="26.6640625" customWidth="1"/>
    <col min="4" max="4" width="12.21875" customWidth="1"/>
    <col min="5" max="6" width="8.21875" bestFit="1" customWidth="1"/>
  </cols>
  <sheetData>
    <row r="1" spans="2:15" ht="34.799999999999997" customHeight="1">
      <c r="B1" s="59" t="s">
        <v>0</v>
      </c>
      <c r="C1" s="60"/>
      <c r="D1" s="60"/>
      <c r="E1" s="60"/>
      <c r="F1" s="60"/>
      <c r="G1" s="60"/>
      <c r="H1" s="60"/>
      <c r="I1" s="60"/>
      <c r="J1" s="60"/>
      <c r="K1" s="60"/>
      <c r="L1" s="60"/>
      <c r="M1" s="60"/>
      <c r="N1" s="61"/>
    </row>
    <row r="2" spans="2:15" ht="7.8" customHeight="1">
      <c r="B2" s="46"/>
      <c r="C2" s="47"/>
      <c r="D2" s="47"/>
      <c r="E2" s="47"/>
      <c r="F2" s="47"/>
      <c r="G2" s="47"/>
      <c r="H2" s="47"/>
      <c r="I2" s="47"/>
      <c r="J2" s="47"/>
      <c r="K2" s="47"/>
      <c r="L2" s="47"/>
      <c r="M2" s="47"/>
      <c r="N2" s="48"/>
    </row>
    <row r="3" spans="2:15" ht="23.4" customHeight="1">
      <c r="B3" s="52" t="s">
        <v>23</v>
      </c>
      <c r="C3" s="30">
        <v>1</v>
      </c>
      <c r="D3" s="49"/>
      <c r="E3" s="69" t="s">
        <v>20</v>
      </c>
      <c r="F3" s="70"/>
      <c r="G3" s="71">
        <v>44987</v>
      </c>
      <c r="H3" s="72"/>
      <c r="I3" s="49"/>
      <c r="J3" s="50"/>
      <c r="K3" s="49"/>
      <c r="L3" s="49"/>
      <c r="M3" s="50"/>
      <c r="N3" s="51"/>
      <c r="O3" s="33" t="s">
        <v>24</v>
      </c>
    </row>
    <row r="4" spans="2:15" ht="10.199999999999999" customHeight="1" thickBot="1">
      <c r="B4" s="64"/>
      <c r="C4" s="65"/>
      <c r="D4" s="65"/>
      <c r="E4" s="65"/>
      <c r="F4" s="65"/>
      <c r="G4" s="65"/>
      <c r="H4" s="65"/>
      <c r="I4" s="65"/>
      <c r="J4" s="65"/>
      <c r="K4" s="65"/>
      <c r="L4" s="65"/>
      <c r="M4" s="65"/>
      <c r="N4" s="66"/>
      <c r="O4" s="34"/>
    </row>
    <row r="5" spans="2:15" ht="20.399999999999999" customHeight="1">
      <c r="B5" s="73" t="s">
        <v>1</v>
      </c>
      <c r="C5" s="62" t="s">
        <v>21</v>
      </c>
      <c r="D5" s="62" t="s">
        <v>2</v>
      </c>
      <c r="E5" s="53">
        <f>G3</f>
        <v>44987</v>
      </c>
      <c r="F5" s="54">
        <f>E5+1</f>
        <v>44988</v>
      </c>
      <c r="G5" s="54">
        <f>F5+1</f>
        <v>44989</v>
      </c>
      <c r="H5" s="54">
        <f>G5+1</f>
        <v>44990</v>
      </c>
      <c r="I5" s="54">
        <f>H5+1</f>
        <v>44991</v>
      </c>
      <c r="J5" s="54">
        <f>I5+3</f>
        <v>44994</v>
      </c>
      <c r="K5" s="54">
        <f>J5+1</f>
        <v>44995</v>
      </c>
      <c r="L5" s="54">
        <f t="shared" ref="L5:N5" si="0">K5+1</f>
        <v>44996</v>
      </c>
      <c r="M5" s="54">
        <f t="shared" si="0"/>
        <v>44997</v>
      </c>
      <c r="N5" s="55">
        <f t="shared" si="0"/>
        <v>44998</v>
      </c>
      <c r="O5" s="34"/>
    </row>
    <row r="6" spans="2:15" ht="17.399999999999999" customHeight="1">
      <c r="B6" s="74"/>
      <c r="C6" s="75"/>
      <c r="D6" s="63"/>
      <c r="E6" s="56" t="s">
        <v>3</v>
      </c>
      <c r="F6" s="57" t="s">
        <v>4</v>
      </c>
      <c r="G6" s="57" t="s">
        <v>5</v>
      </c>
      <c r="H6" s="57" t="s">
        <v>6</v>
      </c>
      <c r="I6" s="57" t="s">
        <v>7</v>
      </c>
      <c r="J6" s="57" t="s">
        <v>8</v>
      </c>
      <c r="K6" s="56" t="s">
        <v>9</v>
      </c>
      <c r="L6" s="57" t="s">
        <v>10</v>
      </c>
      <c r="M6" s="57" t="s">
        <v>11</v>
      </c>
      <c r="N6" s="58" t="s">
        <v>12</v>
      </c>
      <c r="O6" s="34"/>
    </row>
    <row r="7" spans="2:15" ht="30" customHeight="1">
      <c r="B7" s="12">
        <v>1234</v>
      </c>
      <c r="C7" s="10" t="s">
        <v>15</v>
      </c>
      <c r="D7" s="31">
        <v>5</v>
      </c>
      <c r="E7" s="6"/>
      <c r="F7" s="6">
        <v>1</v>
      </c>
      <c r="G7" s="6"/>
      <c r="H7" s="6"/>
      <c r="I7" s="6">
        <v>2</v>
      </c>
      <c r="J7" s="6"/>
      <c r="K7" s="7"/>
      <c r="L7" s="6">
        <v>1</v>
      </c>
      <c r="M7" s="6"/>
      <c r="N7" s="8"/>
      <c r="O7" s="34"/>
    </row>
    <row r="8" spans="2:15" ht="30" customHeight="1">
      <c r="B8" s="12">
        <v>1235</v>
      </c>
      <c r="C8" s="10" t="s">
        <v>16</v>
      </c>
      <c r="D8" s="31">
        <v>3</v>
      </c>
      <c r="E8" s="6">
        <v>3</v>
      </c>
      <c r="F8" s="6"/>
      <c r="G8" s="6">
        <v>1</v>
      </c>
      <c r="H8" s="6">
        <v>-3</v>
      </c>
      <c r="I8" s="6"/>
      <c r="J8" s="6">
        <v>2</v>
      </c>
      <c r="K8" s="7"/>
      <c r="L8" s="6"/>
      <c r="M8" s="6"/>
      <c r="N8" s="8"/>
      <c r="O8" s="33" t="s">
        <v>33</v>
      </c>
    </row>
    <row r="9" spans="2:15" ht="30" customHeight="1">
      <c r="B9" s="12">
        <v>1236</v>
      </c>
      <c r="C9" s="10" t="s">
        <v>17</v>
      </c>
      <c r="D9" s="31">
        <v>3</v>
      </c>
      <c r="E9" s="6"/>
      <c r="F9" s="6">
        <v>1</v>
      </c>
      <c r="G9" s="6"/>
      <c r="H9" s="6"/>
      <c r="I9" s="6">
        <v>1</v>
      </c>
      <c r="J9" s="6"/>
      <c r="K9" s="7">
        <v>1</v>
      </c>
      <c r="L9" s="6">
        <v>1</v>
      </c>
      <c r="M9" s="6"/>
      <c r="N9" s="8"/>
      <c r="O9" s="33"/>
    </row>
    <row r="10" spans="2:15" ht="30" customHeight="1">
      <c r="B10" s="12">
        <v>1237</v>
      </c>
      <c r="C10" s="10" t="s">
        <v>18</v>
      </c>
      <c r="D10" s="31">
        <v>8</v>
      </c>
      <c r="E10" s="6"/>
      <c r="F10" s="6"/>
      <c r="G10" s="6"/>
      <c r="H10" s="6"/>
      <c r="I10" s="6"/>
      <c r="J10" s="6"/>
      <c r="K10" s="7">
        <v>2</v>
      </c>
      <c r="L10" s="6">
        <v>1</v>
      </c>
      <c r="M10" s="6">
        <v>1</v>
      </c>
      <c r="N10" s="8"/>
      <c r="O10" s="34"/>
    </row>
    <row r="11" spans="2:15" ht="30" customHeight="1">
      <c r="B11" s="12">
        <v>1238</v>
      </c>
      <c r="C11" s="10" t="s">
        <v>19</v>
      </c>
      <c r="D11" s="31">
        <v>2</v>
      </c>
      <c r="E11" s="6"/>
      <c r="F11" s="6"/>
      <c r="G11" s="6">
        <v>1</v>
      </c>
      <c r="H11" s="6"/>
      <c r="I11" s="6"/>
      <c r="J11" s="6">
        <v>3</v>
      </c>
      <c r="K11" s="7"/>
      <c r="L11" s="6"/>
      <c r="M11" s="6"/>
      <c r="N11" s="8">
        <v>2</v>
      </c>
      <c r="O11" s="34"/>
    </row>
    <row r="12" spans="2:15" ht="30" customHeight="1">
      <c r="B12" s="12"/>
      <c r="C12" s="10"/>
      <c r="D12" s="31"/>
      <c r="E12" s="6"/>
      <c r="F12" s="6"/>
      <c r="G12" s="6"/>
      <c r="H12" s="6"/>
      <c r="I12" s="6"/>
      <c r="J12" s="6"/>
      <c r="K12" s="7"/>
      <c r="L12" s="6"/>
      <c r="M12" s="6"/>
      <c r="N12" s="8"/>
      <c r="O12" s="34"/>
    </row>
    <row r="13" spans="2:15" ht="30" customHeight="1">
      <c r="B13" s="12"/>
      <c r="C13" s="10"/>
      <c r="D13" s="31"/>
      <c r="E13" s="6"/>
      <c r="F13" s="6"/>
      <c r="G13" s="6"/>
      <c r="H13" s="6"/>
      <c r="I13" s="6"/>
      <c r="J13" s="6"/>
      <c r="K13" s="7"/>
      <c r="L13" s="6"/>
      <c r="M13" s="6"/>
      <c r="N13" s="8"/>
      <c r="O13" s="33" t="s">
        <v>22</v>
      </c>
    </row>
    <row r="14" spans="2:15" ht="30" customHeight="1">
      <c r="B14" s="12"/>
      <c r="C14" s="10"/>
      <c r="D14" s="31"/>
      <c r="E14" s="6"/>
      <c r="F14" s="6"/>
      <c r="G14" s="6"/>
      <c r="H14" s="6"/>
      <c r="I14" s="6"/>
      <c r="J14" s="6"/>
      <c r="K14" s="7"/>
      <c r="L14" s="6"/>
      <c r="M14" s="6"/>
      <c r="N14" s="8"/>
    </row>
    <row r="15" spans="2:15" ht="30" customHeight="1">
      <c r="B15" s="12"/>
      <c r="C15" s="10"/>
      <c r="D15" s="31"/>
      <c r="E15" s="6"/>
      <c r="F15" s="6"/>
      <c r="G15" s="6"/>
      <c r="H15" s="6"/>
      <c r="I15" s="6"/>
      <c r="J15" s="6"/>
      <c r="K15" s="6"/>
      <c r="L15" s="6"/>
      <c r="M15" s="6"/>
      <c r="N15" s="8"/>
      <c r="O15" s="14"/>
    </row>
    <row r="16" spans="2:15" ht="30" customHeight="1">
      <c r="B16" s="15"/>
      <c r="C16" s="16"/>
      <c r="D16" s="32"/>
      <c r="E16" s="17"/>
      <c r="F16" s="17"/>
      <c r="G16" s="17"/>
      <c r="H16" s="17"/>
      <c r="I16" s="17"/>
      <c r="J16" s="6"/>
      <c r="K16" s="6"/>
      <c r="L16" s="6"/>
      <c r="M16" s="6"/>
      <c r="N16" s="8"/>
      <c r="O16" s="14"/>
    </row>
    <row r="17" spans="2:15" ht="30" customHeight="1">
      <c r="B17" s="15"/>
      <c r="C17" s="16"/>
      <c r="D17" s="32"/>
      <c r="E17" s="17"/>
      <c r="F17" s="17"/>
      <c r="G17" s="17"/>
      <c r="H17" s="17"/>
      <c r="I17" s="17"/>
      <c r="J17" s="6"/>
      <c r="K17" s="6"/>
      <c r="L17" s="6"/>
      <c r="M17" s="6"/>
      <c r="N17" s="8"/>
      <c r="O17" s="14"/>
    </row>
    <row r="18" spans="2:15" ht="30" customHeight="1" thickBot="1">
      <c r="B18" s="13"/>
      <c r="C18" s="11"/>
      <c r="D18" s="32"/>
      <c r="E18" s="17"/>
      <c r="F18" s="17"/>
      <c r="G18" s="17"/>
      <c r="H18" s="17"/>
      <c r="I18" s="17"/>
      <c r="J18" s="17"/>
      <c r="K18" s="17"/>
      <c r="L18" s="17"/>
      <c r="M18" s="17"/>
      <c r="N18" s="18"/>
      <c r="O18" s="20"/>
    </row>
    <row r="19" spans="2:15" ht="30.6" customHeight="1" thickBot="1">
      <c r="B19" s="21"/>
      <c r="C19" s="22" t="s">
        <v>13</v>
      </c>
      <c r="D19" s="36">
        <f>SUM(D7:D18)</f>
        <v>21</v>
      </c>
      <c r="E19" s="37">
        <f t="shared" ref="E19:N19" si="1">D19-SUM(E7:E18)</f>
        <v>18</v>
      </c>
      <c r="F19" s="37">
        <f t="shared" si="1"/>
        <v>16</v>
      </c>
      <c r="G19" s="37">
        <f t="shared" si="1"/>
        <v>14</v>
      </c>
      <c r="H19" s="37">
        <f t="shared" si="1"/>
        <v>17</v>
      </c>
      <c r="I19" s="37">
        <f t="shared" si="1"/>
        <v>14</v>
      </c>
      <c r="J19" s="37">
        <f t="shared" si="1"/>
        <v>9</v>
      </c>
      <c r="K19" s="37">
        <f t="shared" si="1"/>
        <v>6</v>
      </c>
      <c r="L19" s="37">
        <f t="shared" si="1"/>
        <v>3</v>
      </c>
      <c r="M19" s="37">
        <f t="shared" si="1"/>
        <v>2</v>
      </c>
      <c r="N19" s="38">
        <f t="shared" si="1"/>
        <v>0</v>
      </c>
    </row>
    <row r="20" spans="2:15" ht="29.4" customHeight="1" thickBot="1">
      <c r="B20" s="5"/>
      <c r="C20" s="23" t="s">
        <v>14</v>
      </c>
      <c r="D20" s="28">
        <f>D19</f>
        <v>21</v>
      </c>
      <c r="E20" s="9">
        <f>D20-($D$20/COUNT($E$5:$N$5))</f>
        <v>18.899999999999999</v>
      </c>
      <c r="F20" s="9">
        <f>E20-($D$20/COUNT($E$5:$N$5))</f>
        <v>16.799999999999997</v>
      </c>
      <c r="G20" s="9">
        <f t="shared" ref="G20:N20" si="2">F20-($D$20/COUNT($E$5:$N$5))</f>
        <v>14.699999999999998</v>
      </c>
      <c r="H20" s="9">
        <f t="shared" si="2"/>
        <v>12.599999999999998</v>
      </c>
      <c r="I20" s="9">
        <f>H20-($D$20/COUNT($E$5:$N$5))</f>
        <v>10.499999999999998</v>
      </c>
      <c r="J20" s="9">
        <f>I20-($D$20/COUNT($E$5:$N$5))</f>
        <v>8.3999999999999986</v>
      </c>
      <c r="K20" s="9">
        <f t="shared" si="2"/>
        <v>6.2999999999999989</v>
      </c>
      <c r="L20" s="9">
        <f t="shared" si="2"/>
        <v>4.1999999999999993</v>
      </c>
      <c r="M20" s="9">
        <f t="shared" si="2"/>
        <v>2.0999999999999992</v>
      </c>
      <c r="N20" s="19">
        <f t="shared" si="2"/>
        <v>0</v>
      </c>
    </row>
    <row r="21" spans="2:15" ht="30" customHeight="1" thickBot="1">
      <c r="B21" s="67" t="s">
        <v>25</v>
      </c>
      <c r="C21" s="68"/>
      <c r="D21" s="35">
        <f>SUMIF(E7:N18,"&gt; 0")</f>
        <v>24</v>
      </c>
      <c r="E21" s="29"/>
      <c r="F21" s="24"/>
      <c r="G21" s="25"/>
      <c r="H21" s="25"/>
      <c r="I21" s="25"/>
      <c r="J21" s="26"/>
      <c r="K21" s="26"/>
      <c r="L21" s="25"/>
      <c r="M21" s="25"/>
      <c r="N21" s="27"/>
    </row>
    <row r="22" spans="2:15" ht="40.049999999999997" customHeight="1">
      <c r="B22" s="2"/>
      <c r="C22" s="3"/>
      <c r="D22" s="39">
        <v>0</v>
      </c>
      <c r="E22" s="39">
        <f>VALUE(RIGHT(E$6,2))</f>
        <v>1</v>
      </c>
      <c r="F22" s="39">
        <f t="shared" ref="F22:N22" si="3">VALUE(RIGHT(F$6,2))</f>
        <v>2</v>
      </c>
      <c r="G22" s="39">
        <f t="shared" si="3"/>
        <v>3</v>
      </c>
      <c r="H22" s="39">
        <f t="shared" si="3"/>
        <v>4</v>
      </c>
      <c r="I22" s="39">
        <f t="shared" si="3"/>
        <v>5</v>
      </c>
      <c r="J22" s="39">
        <f t="shared" si="3"/>
        <v>6</v>
      </c>
      <c r="K22" s="39">
        <f t="shared" si="3"/>
        <v>7</v>
      </c>
      <c r="L22" s="39">
        <f t="shared" si="3"/>
        <v>8</v>
      </c>
      <c r="M22" s="39">
        <f t="shared" si="3"/>
        <v>9</v>
      </c>
      <c r="N22" s="39">
        <f t="shared" si="3"/>
        <v>10</v>
      </c>
    </row>
    <row r="23" spans="2:15" ht="40.049999999999997" customHeight="1">
      <c r="B23" s="2"/>
      <c r="C23" s="3"/>
      <c r="D23" s="3"/>
      <c r="E23" s="3"/>
      <c r="F23" s="4"/>
      <c r="J23" s="1"/>
      <c r="K23" s="1"/>
    </row>
    <row r="24" spans="2:15" ht="40.049999999999997" customHeight="1">
      <c r="B24" s="2"/>
      <c r="C24" s="3"/>
      <c r="D24" s="3"/>
      <c r="E24" s="3"/>
      <c r="F24" s="4"/>
      <c r="J24" s="1"/>
      <c r="K24" s="1"/>
    </row>
    <row r="25" spans="2:15" ht="40.049999999999997" customHeight="1">
      <c r="B25" s="2"/>
      <c r="C25" s="3"/>
      <c r="D25" s="3"/>
      <c r="E25" s="3"/>
      <c r="F25" s="4"/>
      <c r="J25" s="1"/>
      <c r="K25" s="1"/>
    </row>
    <row r="26" spans="2:15" ht="40.049999999999997" customHeight="1">
      <c r="B26" s="2"/>
      <c r="C26" s="3"/>
      <c r="D26" s="3"/>
      <c r="E26" s="3"/>
      <c r="F26" s="4"/>
      <c r="J26" s="1"/>
      <c r="K26" s="1"/>
    </row>
    <row r="27" spans="2:15" ht="40.049999999999997" customHeight="1">
      <c r="B27" s="2"/>
      <c r="C27" s="3"/>
      <c r="D27" s="3"/>
      <c r="E27" s="3"/>
      <c r="F27" s="4"/>
      <c r="J27" s="1"/>
      <c r="K27" s="1"/>
    </row>
    <row r="28" spans="2:15" ht="40.049999999999997" customHeight="1">
      <c r="B28" s="2"/>
      <c r="C28" s="3"/>
      <c r="D28" s="3"/>
      <c r="E28" s="3"/>
      <c r="F28" s="4"/>
      <c r="J28" s="1"/>
      <c r="K28" s="1"/>
    </row>
    <row r="29" spans="2:15" ht="40.049999999999997" customHeight="1">
      <c r="B29" s="2"/>
      <c r="C29" s="3"/>
      <c r="D29" s="3"/>
      <c r="E29" s="3"/>
      <c r="F29" s="4"/>
      <c r="J29" s="1"/>
      <c r="K29" s="1"/>
    </row>
    <row r="30" spans="2:15" ht="40.049999999999997" customHeight="1">
      <c r="B30" s="2"/>
      <c r="C30" s="3"/>
      <c r="D30" s="3"/>
      <c r="E30" s="3"/>
      <c r="F30" s="4"/>
      <c r="J30" s="1"/>
      <c r="K30" s="1"/>
    </row>
    <row r="31" spans="2:15" ht="40.049999999999997" customHeight="1">
      <c r="B31" s="2"/>
      <c r="C31" s="3"/>
      <c r="D31" s="3"/>
      <c r="E31" s="3"/>
      <c r="F31" s="4"/>
      <c r="J31" s="1"/>
      <c r="K31" s="1"/>
    </row>
    <row r="32" spans="2:15" ht="40.049999999999997" customHeight="1">
      <c r="B32" s="2"/>
      <c r="C32" s="3"/>
      <c r="D32" s="3"/>
      <c r="E32" s="3"/>
      <c r="F32" s="4"/>
      <c r="J32" s="1"/>
      <c r="K32" s="1"/>
    </row>
    <row r="33" spans="2:11" ht="40.049999999999997" customHeight="1">
      <c r="B33" s="2"/>
      <c r="C33" s="3"/>
      <c r="D33" s="3"/>
      <c r="E33" s="3"/>
      <c r="F33" s="4"/>
      <c r="J33" s="1"/>
      <c r="K33" s="1"/>
    </row>
    <row r="34" spans="2:11" ht="40.049999999999997" customHeight="1">
      <c r="B34" s="2"/>
      <c r="C34" s="3"/>
      <c r="D34" s="3"/>
      <c r="E34" s="3"/>
      <c r="F34" s="4"/>
      <c r="J34" s="1"/>
      <c r="K34" s="1"/>
    </row>
    <row r="35" spans="2:11" ht="40.049999999999997" customHeight="1">
      <c r="B35" s="2"/>
      <c r="C35" s="3"/>
      <c r="D35" s="3"/>
      <c r="E35" s="3"/>
      <c r="F35" s="4"/>
      <c r="J35" s="1"/>
      <c r="K35" s="1"/>
    </row>
    <row r="36" spans="2:11" ht="40.049999999999997" customHeight="1">
      <c r="B36" s="2"/>
      <c r="C36" s="3"/>
      <c r="D36" s="3"/>
      <c r="E36" s="3"/>
      <c r="F36" s="4"/>
      <c r="J36" s="1"/>
      <c r="K36" s="1"/>
    </row>
    <row r="37" spans="2:11" ht="40.049999999999997" customHeight="1">
      <c r="B37" s="2"/>
      <c r="C37" s="3"/>
      <c r="D37" s="3"/>
      <c r="E37" s="3"/>
      <c r="F37" s="4"/>
      <c r="J37" s="1"/>
      <c r="K37" s="1"/>
    </row>
    <row r="38" spans="2:11" ht="40.049999999999997" customHeight="1">
      <c r="B38" s="2"/>
      <c r="C38" s="3"/>
      <c r="D38" s="3"/>
      <c r="E38" s="3"/>
      <c r="F38" s="4"/>
      <c r="J38" s="1"/>
      <c r="K38" s="1"/>
    </row>
    <row r="39" spans="2:11" ht="40.049999999999997" customHeight="1">
      <c r="B39" s="2"/>
      <c r="C39" s="3"/>
      <c r="D39" s="3"/>
      <c r="E39" s="3"/>
      <c r="F39" s="4"/>
      <c r="J39" s="1"/>
      <c r="K39" s="1"/>
    </row>
    <row r="40" spans="2:11" ht="40.049999999999997" customHeight="1">
      <c r="B40" s="2"/>
      <c r="C40" s="3"/>
      <c r="D40" s="3"/>
      <c r="E40" s="3"/>
      <c r="F40" s="4"/>
      <c r="J40" s="1"/>
      <c r="K40" s="1"/>
    </row>
    <row r="41" spans="2:11" ht="40.049999999999997" customHeight="1">
      <c r="B41" s="2"/>
      <c r="C41" s="3"/>
      <c r="D41" s="3"/>
      <c r="E41" s="3"/>
      <c r="F41" s="4"/>
      <c r="J41" s="1"/>
      <c r="K41" s="1"/>
    </row>
    <row r="42" spans="2:11" ht="40.049999999999997" customHeight="1">
      <c r="B42" s="2"/>
      <c r="C42" s="3"/>
      <c r="D42" s="3"/>
      <c r="E42" s="3"/>
      <c r="F42" s="4"/>
      <c r="J42" s="1"/>
      <c r="K42" s="1"/>
    </row>
    <row r="43" spans="2:11" ht="40.049999999999997" customHeight="1">
      <c r="B43" s="2"/>
      <c r="C43" s="3"/>
      <c r="D43" s="3"/>
      <c r="E43" s="3"/>
      <c r="F43" s="4"/>
      <c r="J43" s="1"/>
      <c r="K43" s="1"/>
    </row>
  </sheetData>
  <mergeCells count="8">
    <mergeCell ref="B1:N1"/>
    <mergeCell ref="D5:D6"/>
    <mergeCell ref="B4:N4"/>
    <mergeCell ref="B21:C21"/>
    <mergeCell ref="E3:F3"/>
    <mergeCell ref="G3:H3"/>
    <mergeCell ref="B5:B6"/>
    <mergeCell ref="C5:C6"/>
  </mergeCells>
  <conditionalFormatting sqref="E7:N18">
    <cfRule type="cellIs" dxfId="0" priority="1" operator="lessThan">
      <formula>0</formula>
    </cfRule>
  </conditionalFormatting>
  <dataValidations count="2">
    <dataValidation type="whole" allowBlank="1" showInputMessage="1" showErrorMessage="1" sqref="K7:N17 K18 N18 E7:J18" xr:uid="{00000000-0002-0000-0000-000000000000}">
      <formula1>-100</formula1>
      <formula2>1000000</formula2>
    </dataValidation>
    <dataValidation type="whole" allowBlank="1" showInputMessage="1" showErrorMessage="1" sqref="D7:D18" xr:uid="{00000000-0002-0000-0000-000001000000}">
      <formula1>0</formula1>
      <formula2>1000000</formula2>
    </dataValidation>
  </dataValidation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cols>
    <col min="1" max="1" width="3.33203125" customWidth="1"/>
    <col min="2" max="2" width="68" customWidth="1"/>
    <col min="3" max="3" width="13.5546875" customWidth="1"/>
  </cols>
  <sheetData>
    <row r="1" spans="1:3" ht="35.4" customHeight="1">
      <c r="A1" s="40"/>
      <c r="B1" s="41" t="s">
        <v>31</v>
      </c>
      <c r="C1" s="40"/>
    </row>
    <row r="2" spans="1:3" ht="15">
      <c r="A2" s="42"/>
      <c r="B2" s="42"/>
      <c r="C2" s="43"/>
    </row>
    <row r="3" spans="1:3" ht="19.2" customHeight="1">
      <c r="A3" s="42"/>
      <c r="B3" s="42" t="s">
        <v>34</v>
      </c>
      <c r="C3" s="43"/>
    </row>
    <row r="4" spans="1:3" ht="15">
      <c r="A4" s="42"/>
      <c r="B4" s="42"/>
      <c r="C4" s="43"/>
    </row>
    <row r="5" spans="1:3" ht="45">
      <c r="A5" s="42"/>
      <c r="B5" s="44" t="s">
        <v>26</v>
      </c>
      <c r="C5" s="43"/>
    </row>
    <row r="6" spans="1:3" ht="15">
      <c r="A6" s="42"/>
      <c r="B6" s="42"/>
      <c r="C6" s="43"/>
    </row>
    <row r="7" spans="1:3" ht="30">
      <c r="A7" s="42"/>
      <c r="B7" s="44" t="s">
        <v>27</v>
      </c>
      <c r="C7" s="43"/>
    </row>
    <row r="8" spans="1:3" ht="15">
      <c r="A8" s="42"/>
      <c r="B8" s="42"/>
      <c r="C8" s="43"/>
    </row>
    <row r="9" spans="1:3" ht="45.6">
      <c r="A9" s="42"/>
      <c r="B9" s="44" t="s">
        <v>28</v>
      </c>
      <c r="C9" s="43"/>
    </row>
    <row r="10" spans="1:3" ht="15">
      <c r="A10" s="42"/>
      <c r="B10" s="42"/>
      <c r="C10" s="43"/>
    </row>
    <row r="11" spans="1:3" ht="15">
      <c r="A11" s="42"/>
      <c r="B11" s="42" t="s">
        <v>32</v>
      </c>
      <c r="C11" s="43"/>
    </row>
    <row r="12" spans="1:3" ht="15">
      <c r="A12" s="42"/>
      <c r="B12" s="42"/>
      <c r="C12" s="43"/>
    </row>
    <row r="13" spans="1:3" ht="24" customHeight="1" thickBot="1">
      <c r="A13" s="42"/>
      <c r="B13" s="45" t="s">
        <v>29</v>
      </c>
      <c r="C13" s="43"/>
    </row>
    <row r="14" spans="1:3" ht="15">
      <c r="A14" s="42"/>
      <c r="B14" s="42"/>
      <c r="C14" s="43"/>
    </row>
    <row r="15" spans="1:3" ht="90">
      <c r="A15" s="42"/>
      <c r="B15" s="44" t="s">
        <v>30</v>
      </c>
      <c r="C15" s="43"/>
    </row>
    <row r="16" spans="1:3" ht="15">
      <c r="A16" s="42"/>
      <c r="B16" s="42"/>
      <c r="C16" s="43"/>
    </row>
    <row r="17" spans="1:3" ht="15">
      <c r="A17" s="42"/>
      <c r="B17" s="42"/>
      <c r="C17" s="43"/>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Sprint Burndown Chart</vt:lpstr>
      <vt:lpstr>©</vt:lpstr>
      <vt:lpstr>'Sprint Burndown Chart'!Print_Area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2024-03-13T02:09:21Z</dcterms:created>
  <dcterms:modified xsi:type="dcterms:W3CDTF">2024-03-13T02:09:30Z</dcterms:modified>
</cp:coreProperties>
</file>