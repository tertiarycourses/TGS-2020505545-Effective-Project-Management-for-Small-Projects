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hart1.xml" ContentType="application/vnd.openxmlformats-officedocument.drawingml.chart+xml"/>
  <Override PartName="/xl/charts/colors1.xml" ContentType="application/vnd.ms-office.chartcolorstyle+xml"/>
  <Override PartName="/xl/charts/style3.xml" ContentType="application/vnd.ms-office.chartstyle+xml"/>
  <Override PartName="/xl/charts/chart4.xml" ContentType="application/vnd.openxmlformats-officedocument.drawingml.chart+xml"/>
  <Override PartName="/xl/charts/chart3.xml" ContentType="application/vnd.openxmlformats-officedocument.drawingml.chart+xml"/>
  <Override PartName="/xl/charts/colors2.xml" ContentType="application/vnd.ms-office.chartcolorstyle+xml"/>
  <Override PartName="/xl/charts/style1.xml" ContentType="application/vnd.ms-office.chartstyle+xml"/>
  <Override PartName="/xl/charts/style4.xml" ContentType="application/vnd.ms-office.chartstyle+xml"/>
  <Override PartName="/xl/charts/colors3.xml" ContentType="application/vnd.ms-office.chartcolor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udget vs Actual Monthly - List" sheetId="1" state="visible" r:id="rId3"/>
    <sheet name="Budget vs Actual Monthly -Chart" sheetId="2" state="visible" r:id="rId4"/>
    <sheet name="Budget vs Actual Weekly - List" sheetId="3" state="visible" r:id="rId5"/>
    <sheet name="Budget vs Actual Weekly - Chart" sheetId="4" state="visible" r:id="rId6"/>
    <sheet name="©" sheetId="5" state="visible" r:id="rId7"/>
  </sheets>
  <definedNames>
    <definedName function="false" hidden="true" localSheetId="0" name="_xlnm._FilterDatabase" vbProcedure="false">'Budget vs Actual Monthly - List'!$B$5:$D$49</definedName>
    <definedName function="false" hidden="true" localSheetId="2" name="_xlnm._FilterDatabase" vbProcedure="false">'Budget vs Actual Weekly - List'!$B$5:$D$49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<sst xmlns="http://schemas.openxmlformats.org/spreadsheetml/2006/main" count="168" uniqueCount="28">
  <si>
    <t xml:space="preserve">Project Budget - Monthly</t>
  </si>
  <si>
    <t xml:space="preserve">Start Date:</t>
  </si>
  <si>
    <t xml:space="preserve">versus Actual Cost</t>
  </si>
  <si>
    <t xml:space="preserve">Budget Name:</t>
  </si>
  <si>
    <t xml:space="preserve">◄ Insert more columns to have more dates. You can also overwrite the dates and change them to weeks or days as you prefer.</t>
  </si>
  <si>
    <t xml:space="preserve"> #</t>
  </si>
  <si>
    <t xml:space="preserve">Expenses</t>
  </si>
  <si>
    <t xml:space="preserve">Type</t>
  </si>
  <si>
    <t xml:space="preserve">Total</t>
  </si>
  <si>
    <t xml:space="preserve">◄ Drag and copy across an existing column to ensure the formulas and formatting stay the same.</t>
  </si>
  <si>
    <t xml:space="preserve">[ expense name] </t>
  </si>
  <si>
    <t xml:space="preserve">Budgeted</t>
  </si>
  <si>
    <t xml:space="preserve">Actual</t>
  </si>
  <si>
    <t xml:space="preserve">◄ Insert more expenses by inserting more rows (two at a time)</t>
  </si>
  <si>
    <t xml:space="preserve">◄ Drag and copy two rows from above to copy the formulas and formatting to your new rows</t>
  </si>
  <si>
    <t xml:space="preserve">Total Budget</t>
  </si>
  <si>
    <t xml:space="preserve">Cumulative Budget</t>
  </si>
  <si>
    <t xml:space="preserve">Total Actual Cost</t>
  </si>
  <si>
    <t xml:space="preserve">Cumulative Cost</t>
  </si>
  <si>
    <t xml:space="preserve">Project Budget - Weekly</t>
  </si>
  <si>
    <t xml:space="preserve">Budget vs Actual Template</t>
  </si>
  <si>
    <t xml:space="preserve">©  2024  David McLachlan</t>
  </si>
  <si>
    <t xml:space="preserve">This spreadsheet, including all worksheets and associated content is a copyrighted work under the United States and other copyright laws.</t>
  </si>
  <si>
    <t xml:space="preserve">Do not submit copies or modifications of this template to any website or online template gallery.</t>
  </si>
  <si>
    <r>
      <rPr>
        <sz val="12"/>
        <color theme="1"/>
        <rFont val="Arial"/>
        <family val="2"/>
        <charset val="1"/>
      </rPr>
      <t xml:space="preserve">You may make archival copies and customize the template only for your personal use or use within your company or organization and </t>
    </r>
    <r>
      <rPr>
        <b val="true"/>
        <sz val="12"/>
        <color theme="1"/>
        <rFont val="Arial"/>
        <family val="2"/>
        <charset val="1"/>
      </rPr>
      <t xml:space="preserve">not for resale or public sharing</t>
    </r>
    <r>
      <rPr>
        <sz val="12"/>
        <color theme="1"/>
        <rFont val="Arial"/>
        <family val="2"/>
        <charset val="1"/>
      </rPr>
      <t xml:space="preserve">.</t>
    </r>
  </si>
  <si>
    <t xml:space="preserve">Do not delete this worksheet.</t>
  </si>
  <si>
    <t xml:space="preserve">Limitation of Liability</t>
  </si>
  <si>
    <t xml:space="preserve">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</si>
</sst>
</file>

<file path=xl/styles.xml><?xml version="1.0" encoding="utf-8"?>
<styleSheet xmlns="http://schemas.openxmlformats.org/spreadsheetml/2006/main">
  <numFmts count="5">
    <numFmt numFmtId="164" formatCode="General"/>
    <numFmt numFmtId="165" formatCode="mmm\ d&quot;, &quot;yy"/>
    <numFmt numFmtId="166" formatCode="mm/yy"/>
    <numFmt numFmtId="167" formatCode="\$#,##0.00"/>
    <numFmt numFmtId="168" formatCode="d\ mmm\ yy"/>
  </numFmts>
  <fonts count="23">
    <font>
      <sz val="11"/>
      <color theme="1"/>
      <name val="Calibri"/>
      <family val="2"/>
      <charset val="1"/>
    </font>
    <font>
      <sz val="10"/>
      <name val="Arial"/>
      <family val="0"/>
    </font>
    <font>
      <sz val="10"/>
      <name val="Arial"/>
      <family val="0"/>
    </font>
    <font>
      <sz val="10"/>
      <name val="Arial"/>
      <family val="0"/>
    </font>
    <font>
      <sz val="11"/>
      <color theme="1"/>
      <name val="Arial"/>
      <family val="2"/>
      <charset val="1"/>
    </font>
    <font>
      <sz val="11"/>
      <color theme="0"/>
      <name val="Arial"/>
      <family val="2"/>
      <charset val="1"/>
    </font>
    <font>
      <i val="true"/>
      <sz val="20"/>
      <color theme="3"/>
      <name val="Arial"/>
      <family val="2"/>
      <charset val="1"/>
    </font>
    <font>
      <i val="true"/>
      <sz val="20"/>
      <color theme="0"/>
      <name val="Arial"/>
      <family val="2"/>
      <charset val="1"/>
    </font>
    <font>
      <i val="true"/>
      <sz val="22"/>
      <color theme="0"/>
      <name val="Arial"/>
      <family val="2"/>
      <charset val="1"/>
    </font>
    <font>
      <b val="true"/>
      <sz val="11"/>
      <color theme="0"/>
      <name val="Arial"/>
      <family val="2"/>
      <charset val="1"/>
    </font>
    <font>
      <i val="true"/>
      <sz val="11"/>
      <color theme="1"/>
      <name val="Arial"/>
      <family val="2"/>
      <charset val="1"/>
    </font>
    <font>
      <sz val="12"/>
      <color theme="0"/>
      <name val="Arial"/>
      <family val="2"/>
      <charset val="1"/>
    </font>
    <font>
      <sz val="11"/>
      <color theme="1" tint="0.2499"/>
      <name val="Arial"/>
      <family val="2"/>
      <charset val="1"/>
    </font>
    <font>
      <b val="true"/>
      <sz val="12"/>
      <color rgb="FFFFFFFF"/>
      <name val="Arial"/>
      <family val="2"/>
      <charset val="1"/>
    </font>
    <font>
      <sz val="11"/>
      <name val="Arial"/>
      <family val="2"/>
      <charset val="1"/>
    </font>
    <font>
      <b val="true"/>
      <sz val="11"/>
      <name val="Arial"/>
      <family val="2"/>
      <charset val="1"/>
    </font>
    <font>
      <b val="true"/>
      <sz val="11"/>
      <color theme="1" tint="0.2499"/>
      <name val="Arial"/>
      <family val="2"/>
      <charset val="1"/>
    </font>
    <font>
      <sz val="14"/>
      <color rgb="FF595959"/>
      <name val="Calibri"/>
      <family val="2"/>
    </font>
    <font>
      <sz val="9"/>
      <color rgb="FF595959"/>
      <name val="Calibri"/>
      <family val="2"/>
    </font>
    <font>
      <b val="true"/>
      <sz val="16"/>
      <color theme="0"/>
      <name val="Arial"/>
      <family val="2"/>
      <charset val="1"/>
    </font>
    <font>
      <sz val="12"/>
      <color theme="1"/>
      <name val="Arial"/>
      <family val="2"/>
      <charset val="1"/>
    </font>
    <font>
      <b val="true"/>
      <sz val="12"/>
      <color theme="1"/>
      <name val="Arial"/>
      <family val="2"/>
      <charset val="1"/>
    </font>
    <font>
      <i val="true"/>
      <sz val="14"/>
      <color theme="1"/>
      <name val="Arial"/>
      <family val="2"/>
      <charset val="1"/>
    </font>
  </fonts>
  <fills count="8">
    <fill>
      <patternFill patternType="none"/>
    </fill>
    <fill>
      <patternFill patternType="gray125"/>
    </fill>
    <fill>
      <patternFill patternType="solid">
        <fgColor theme="3"/>
        <bgColor rgb="FF595959"/>
      </patternFill>
    </fill>
    <fill>
      <patternFill patternType="solid">
        <fgColor theme="0"/>
        <bgColor rgb="FFEDF0F3"/>
      </patternFill>
    </fill>
    <fill>
      <patternFill patternType="solid">
        <fgColor rgb="FF8FB9AB"/>
        <bgColor rgb="FFA6A6A6"/>
      </patternFill>
    </fill>
    <fill>
      <patternFill patternType="solid">
        <fgColor theme="7" tint="0.7999"/>
        <bgColor rgb="FFEDF0F3"/>
      </patternFill>
    </fill>
    <fill>
      <patternFill patternType="solid">
        <fgColor rgb="FFFDDBB1"/>
        <bgColor rgb="FFFFF2CC"/>
      </patternFill>
    </fill>
    <fill>
      <patternFill patternType="solid">
        <fgColor rgb="FFEDF0F3"/>
        <bgColor rgb="FFFFFFFF"/>
      </patternFill>
    </fill>
  </fills>
  <borders count="38">
    <border diagonalUp="false" diagonalDown="false">
      <left/>
      <right/>
      <top/>
      <bottom/>
      <diagonal/>
    </border>
    <border diagonalUp="false" diagonalDown="false">
      <left style="thin"/>
      <right style="thin"/>
      <top style="thin"/>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top style="medium"/>
      <bottom/>
      <diagonal/>
    </border>
    <border diagonalUp="false" diagonalDown="false">
      <left/>
      <right/>
      <top style="medium"/>
      <bottom style="thin">
        <color theme="0" tint="-0.35"/>
      </bottom>
      <diagonal/>
    </border>
    <border diagonalUp="false" diagonalDown="false">
      <left/>
      <right style="medium"/>
      <top style="medium"/>
      <bottom style="dotted">
        <color theme="0" tint="-0.35"/>
      </bottom>
      <diagonal/>
    </border>
    <border diagonalUp="false" diagonalDown="false">
      <left style="medium"/>
      <right style="thin">
        <color rgb="FF969696"/>
      </right>
      <top style="medium"/>
      <bottom style="dotted">
        <color theme="0" tint="-0.35"/>
      </bottom>
      <diagonal/>
    </border>
    <border diagonalUp="false" diagonalDown="false">
      <left style="thin">
        <color rgb="FF969696"/>
      </left>
      <right style="thin">
        <color rgb="FF969696"/>
      </right>
      <top style="medium"/>
      <bottom style="dotted">
        <color theme="0" tint="-0.35"/>
      </bottom>
      <diagonal/>
    </border>
    <border diagonalUp="false" diagonalDown="false">
      <left style="thin">
        <color rgb="FF969696"/>
      </left>
      <right style="medium"/>
      <top style="medium"/>
      <bottom style="dotted">
        <color theme="0" tint="-0.35"/>
      </bottom>
      <diagonal/>
    </border>
    <border diagonalUp="false" diagonalDown="false">
      <left/>
      <right/>
      <top/>
      <bottom style="thin">
        <color theme="0" tint="-0.35"/>
      </bottom>
      <diagonal/>
    </border>
    <border diagonalUp="false" diagonalDown="false">
      <left style="medium"/>
      <right style="thin">
        <color theme="0" tint="-0.35"/>
      </right>
      <top style="dotted">
        <color theme="0" tint="-0.35"/>
      </top>
      <bottom style="thin">
        <color theme="0" tint="-0.35"/>
      </bottom>
      <diagonal/>
    </border>
    <border diagonalUp="false" diagonalDown="false">
      <left style="thin">
        <color theme="0" tint="-0.35"/>
      </left>
      <right style="thin">
        <color theme="0" tint="-0.35"/>
      </right>
      <top style="dotted">
        <color theme="0" tint="-0.35"/>
      </top>
      <bottom style="thin">
        <color theme="0" tint="-0.35"/>
      </bottom>
      <diagonal/>
    </border>
    <border diagonalUp="false" diagonalDown="false">
      <left style="thin">
        <color theme="0" tint="-0.35"/>
      </left>
      <right style="medium"/>
      <top style="dotted">
        <color theme="0" tint="-0.35"/>
      </top>
      <bottom style="thin">
        <color theme="0" tint="-0.35"/>
      </bottom>
      <diagonal/>
    </border>
    <border diagonalUp="false" diagonalDown="false">
      <left/>
      <right style="medium"/>
      <top/>
      <bottom style="thin">
        <color theme="0" tint="-0.35"/>
      </bottom>
      <diagonal/>
    </border>
    <border diagonalUp="false" diagonalDown="false">
      <left style="medium"/>
      <right/>
      <top/>
      <bottom/>
      <diagonal/>
    </border>
    <border diagonalUp="false" diagonalDown="false">
      <left/>
      <right/>
      <top style="thin">
        <color theme="0" tint="-0.35"/>
      </top>
      <bottom style="thin">
        <color theme="0" tint="-0.35"/>
      </bottom>
      <diagonal/>
    </border>
    <border diagonalUp="false" diagonalDown="false">
      <left/>
      <right style="medium"/>
      <top style="thin">
        <color theme="0" tint="-0.35"/>
      </top>
      <bottom style="dotted">
        <color theme="0" tint="-0.35"/>
      </bottom>
      <diagonal/>
    </border>
    <border diagonalUp="false" diagonalDown="false">
      <left style="medium"/>
      <right style="thin">
        <color rgb="FF969696"/>
      </right>
      <top style="thin">
        <color theme="0" tint="-0.35"/>
      </top>
      <bottom style="dotted">
        <color theme="0" tint="-0.35"/>
      </bottom>
      <diagonal/>
    </border>
    <border diagonalUp="false" diagonalDown="false">
      <left style="thin">
        <color rgb="FF969696"/>
      </left>
      <right style="thin">
        <color rgb="FF969696"/>
      </right>
      <top style="thin">
        <color theme="0" tint="-0.35"/>
      </top>
      <bottom style="dotted">
        <color theme="0" tint="-0.35"/>
      </bottom>
      <diagonal/>
    </border>
    <border diagonalUp="false" diagonalDown="false">
      <left style="thin">
        <color rgb="FF969696"/>
      </left>
      <right style="medium"/>
      <top style="thin">
        <color theme="0" tint="-0.35"/>
      </top>
      <bottom style="dotted">
        <color theme="0" tint="-0.35"/>
      </bottom>
      <diagonal/>
    </border>
    <border diagonalUp="false" diagonalDown="false">
      <left/>
      <right/>
      <top style="thin">
        <color theme="0" tint="-0.35"/>
      </top>
      <bottom style="dotted">
        <color theme="0" tint="-0.35"/>
      </bottom>
      <diagonal/>
    </border>
    <border diagonalUp="false" diagonalDown="false">
      <left/>
      <right/>
      <top style="thin">
        <color theme="0" tint="-0.35"/>
      </top>
      <bottom style="thin">
        <color rgb="FF969696"/>
      </bottom>
      <diagonal/>
    </border>
    <border diagonalUp="false" diagonalDown="false">
      <left style="medium"/>
      <right/>
      <top/>
      <bottom style="medium"/>
      <diagonal/>
    </border>
    <border diagonalUp="false" diagonalDown="false">
      <left/>
      <right/>
      <top style="thin">
        <color rgb="FF969696"/>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right/>
      <top style="medium"/>
      <bottom/>
      <diagonal/>
    </border>
    <border diagonalUp="false" diagonalDown="false">
      <left/>
      <right style="medium"/>
      <top style="medium"/>
      <bottom/>
      <diagonal/>
    </border>
    <border diagonalUp="false" diagonalDown="false">
      <left/>
      <right style="medium"/>
      <top/>
      <bottom/>
      <diagonal/>
    </border>
    <border diagonalUp="false" diagonalDown="false">
      <left style="thin"/>
      <right/>
      <top style="thin"/>
      <bottom style="thin"/>
      <diagonal/>
    </border>
    <border diagonalUp="false" diagonalDown="false">
      <left/>
      <right/>
      <top style="thin"/>
      <bottom style="thin"/>
      <diagonal/>
    </border>
    <border diagonalUp="false" diagonalDown="false">
      <left style="thin"/>
      <right/>
      <top/>
      <bottom/>
      <diagonal/>
    </border>
    <border diagonalUp="false" diagonalDown="false">
      <left style="thin">
        <color rgb="FF969696"/>
      </left>
      <right/>
      <top style="medium"/>
      <bottom style="dotted">
        <color theme="0" tint="-0.35"/>
      </bottom>
      <diagonal/>
    </border>
    <border diagonalUp="false" diagonalDown="false">
      <left style="thin">
        <color theme="0" tint="-0.35"/>
      </left>
      <right/>
      <top style="dotted">
        <color theme="0" tint="-0.35"/>
      </top>
      <bottom style="thin">
        <color theme="0" tint="-0.35"/>
      </bottom>
      <diagonal/>
    </border>
    <border diagonalUp="false" diagonalDown="false">
      <left style="thin">
        <color rgb="FF969696"/>
      </left>
      <right/>
      <top style="thin">
        <color theme="0" tint="-0.35"/>
      </top>
      <bottom style="dotted">
        <color theme="0" tint="-0.35"/>
      </bottom>
      <diagonal/>
    </border>
    <border diagonalUp="false" diagonalDown="false">
      <left/>
      <right/>
      <top/>
      <bottom style="medium">
        <color theme="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fals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8" fillId="2" borderId="0" xfId="0" applyFont="true" applyBorder="false" applyAlignment="true" applyProtection="false">
      <alignment horizontal="general" vertical="center" textRotation="0" wrapText="false" indent="0" shrinkToFit="false"/>
      <protection locked="true" hidden="false"/>
    </xf>
    <xf numFmtId="164" fontId="9" fillId="2" borderId="0" xfId="0" applyFont="true" applyBorder="false" applyAlignment="true" applyProtection="false">
      <alignment horizontal="right" vertical="center" textRotation="0" wrapText="false" indent="1" shrinkToFit="false"/>
      <protection locked="true" hidden="false"/>
    </xf>
    <xf numFmtId="165" fontId="10" fillId="3" borderId="1"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false" applyAlignment="true" applyProtection="false">
      <alignment horizontal="right" vertical="bottom" textRotation="0" wrapText="false" indent="0" shrinkToFit="false"/>
      <protection locked="true" hidden="false"/>
    </xf>
    <xf numFmtId="164" fontId="11" fillId="2" borderId="0" xfId="0" applyFont="true" applyBorder="true" applyAlignment="true" applyProtection="false">
      <alignment horizontal="center" vertical="top" textRotation="0" wrapText="false" indent="0" shrinkToFit="false"/>
      <protection locked="true" hidden="false"/>
    </xf>
    <xf numFmtId="164" fontId="12" fillId="3" borderId="1" xfId="0" applyFont="true" applyBorder="true" applyAlignment="true" applyProtection="false">
      <alignment horizontal="left" vertical="center" textRotation="0" wrapText="false" indent="1"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9" fillId="4" borderId="2" xfId="0" applyFont="true" applyBorder="true" applyAlignment="true" applyProtection="false">
      <alignment horizontal="left" vertical="center" textRotation="0" wrapText="false" indent="0" shrinkToFit="false"/>
      <protection locked="true" hidden="false"/>
    </xf>
    <xf numFmtId="164" fontId="13" fillId="4" borderId="3" xfId="0" applyFont="true" applyBorder="true" applyAlignment="true" applyProtection="false">
      <alignment horizontal="center" vertical="center" textRotation="0" wrapText="false" indent="0" shrinkToFit="false"/>
      <protection locked="true" hidden="false"/>
    </xf>
    <xf numFmtId="166" fontId="13" fillId="4" borderId="3" xfId="0" applyFont="true" applyBorder="true" applyAlignment="true" applyProtection="false">
      <alignment horizontal="center" vertical="center" textRotation="0" wrapText="false" indent="0" shrinkToFit="false"/>
      <protection locked="true" hidden="false"/>
    </xf>
    <xf numFmtId="164" fontId="13" fillId="4" borderId="4" xfId="0" applyFont="true" applyBorder="true" applyAlignment="true" applyProtection="false">
      <alignment horizontal="center" vertical="center" textRotation="0" wrapText="false" indent="0" shrinkToFit="false"/>
      <protection locked="true" hidden="false"/>
    </xf>
    <xf numFmtId="164" fontId="4" fillId="0" borderId="5" xfId="0" applyFont="true" applyBorder="true" applyAlignment="true" applyProtection="false">
      <alignment horizontal="center" vertical="center" textRotation="0" wrapText="false" indent="0" shrinkToFit="false"/>
      <protection locked="true" hidden="false"/>
    </xf>
    <xf numFmtId="164" fontId="14" fillId="0" borderId="6" xfId="0" applyFont="true" applyBorder="true" applyAlignment="true" applyProtection="true">
      <alignment horizontal="right" vertical="center" textRotation="0" wrapText="true" indent="1" shrinkToFit="false"/>
      <protection locked="false" hidden="false"/>
    </xf>
    <xf numFmtId="164" fontId="14" fillId="0" borderId="7" xfId="0" applyFont="true" applyBorder="true" applyAlignment="true" applyProtection="true">
      <alignment horizontal="right" vertical="center" textRotation="0" wrapText="false" indent="1" shrinkToFit="false"/>
      <protection locked="false" hidden="false"/>
    </xf>
    <xf numFmtId="167" fontId="14" fillId="0" borderId="8" xfId="0" applyFont="true" applyBorder="true" applyAlignment="true" applyProtection="true">
      <alignment horizontal="general" vertical="center" textRotation="0" wrapText="false" indent="0" shrinkToFit="false"/>
      <protection locked="false" hidden="false"/>
    </xf>
    <xf numFmtId="167" fontId="14" fillId="0" borderId="9" xfId="0" applyFont="true" applyBorder="true" applyAlignment="true" applyProtection="true">
      <alignment horizontal="general" vertical="center" textRotation="0" wrapText="false" indent="0" shrinkToFit="false"/>
      <protection locked="false" hidden="false"/>
    </xf>
    <xf numFmtId="167" fontId="14" fillId="0" borderId="10" xfId="0" applyFont="true" applyBorder="true" applyAlignment="true" applyProtection="true">
      <alignment horizontal="general" vertical="center" textRotation="0" wrapText="false" indent="0" shrinkToFit="false"/>
      <protection locked="false" hidden="false"/>
    </xf>
    <xf numFmtId="164" fontId="15" fillId="0" borderId="7" xfId="0" applyFont="true" applyBorder="true" applyAlignment="true" applyProtection="false">
      <alignment horizontal="general" vertical="center" textRotation="0" wrapText="false" indent="0" shrinkToFit="false"/>
      <protection locked="true" hidden="false"/>
    </xf>
    <xf numFmtId="164" fontId="14" fillId="5" borderId="11" xfId="0" applyFont="true" applyBorder="true" applyAlignment="true" applyProtection="true">
      <alignment horizontal="right" vertical="center" textRotation="0" wrapText="false" indent="1" shrinkToFit="false"/>
      <protection locked="false" hidden="false"/>
    </xf>
    <xf numFmtId="167" fontId="14" fillId="5" borderId="12" xfId="0" applyFont="true" applyBorder="true" applyAlignment="true" applyProtection="true">
      <alignment horizontal="general" vertical="center" textRotation="0" wrapText="false" indent="0" shrinkToFit="false"/>
      <protection locked="false" hidden="false"/>
    </xf>
    <xf numFmtId="167" fontId="14" fillId="5" borderId="13" xfId="0" applyFont="true" applyBorder="true" applyAlignment="true" applyProtection="true">
      <alignment horizontal="general" vertical="center" textRotation="0" wrapText="false" indent="0" shrinkToFit="false"/>
      <protection locked="false" hidden="false"/>
    </xf>
    <xf numFmtId="167" fontId="14" fillId="5" borderId="14" xfId="0" applyFont="true" applyBorder="true" applyAlignment="true" applyProtection="true">
      <alignment horizontal="general" vertical="center" textRotation="0" wrapText="false" indent="0" shrinkToFit="false"/>
      <protection locked="false" hidden="false"/>
    </xf>
    <xf numFmtId="164" fontId="15" fillId="5" borderId="15" xfId="0" applyFont="true" applyBorder="true" applyAlignment="true" applyProtection="false">
      <alignment horizontal="general" vertical="center" textRotation="0" wrapText="false" indent="0" shrinkToFit="false"/>
      <protection locked="true" hidden="false"/>
    </xf>
    <xf numFmtId="164" fontId="4" fillId="0" borderId="16" xfId="0" applyFont="true" applyBorder="true" applyAlignment="true" applyProtection="false">
      <alignment horizontal="center" vertical="center" textRotation="0" wrapText="false" indent="0" shrinkToFit="false"/>
      <protection locked="true" hidden="false"/>
    </xf>
    <xf numFmtId="164" fontId="14" fillId="0" borderId="17" xfId="0" applyFont="true" applyBorder="true" applyAlignment="true" applyProtection="true">
      <alignment horizontal="right" vertical="center" textRotation="0" wrapText="true" indent="1" shrinkToFit="false"/>
      <protection locked="false" hidden="false"/>
    </xf>
    <xf numFmtId="164" fontId="14" fillId="0" borderId="18" xfId="0" applyFont="true" applyBorder="true" applyAlignment="true" applyProtection="true">
      <alignment horizontal="right" vertical="center" textRotation="0" wrapText="false" indent="1" shrinkToFit="false"/>
      <protection locked="false" hidden="false"/>
    </xf>
    <xf numFmtId="167" fontId="14" fillId="0" borderId="19" xfId="0" applyFont="true" applyBorder="true" applyAlignment="true" applyProtection="true">
      <alignment horizontal="general" vertical="center" textRotation="0" wrapText="false" indent="0" shrinkToFit="false"/>
      <protection locked="false" hidden="false"/>
    </xf>
    <xf numFmtId="167" fontId="14" fillId="0" borderId="20" xfId="0" applyFont="true" applyBorder="true" applyAlignment="true" applyProtection="true">
      <alignment horizontal="general" vertical="center" textRotation="0" wrapText="false" indent="0" shrinkToFit="false"/>
      <protection locked="false" hidden="false"/>
    </xf>
    <xf numFmtId="167" fontId="14" fillId="0" borderId="21" xfId="0" applyFont="true" applyBorder="true" applyAlignment="true" applyProtection="true">
      <alignment horizontal="general" vertical="center" textRotation="0" wrapText="false" indent="0" shrinkToFit="false"/>
      <protection locked="false" hidden="false"/>
    </xf>
    <xf numFmtId="164" fontId="15" fillId="0" borderId="18"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1" shrinkToFit="false"/>
      <protection locked="true" hidden="false"/>
    </xf>
    <xf numFmtId="164" fontId="14" fillId="0" borderId="22" xfId="0" applyFont="true" applyBorder="true" applyAlignment="true" applyProtection="true">
      <alignment horizontal="right" vertical="center" textRotation="0" wrapText="false" indent="1" shrinkToFit="false"/>
      <protection locked="false" hidden="false"/>
    </xf>
    <xf numFmtId="164" fontId="14" fillId="5" borderId="15" xfId="0" applyFont="true" applyBorder="true" applyAlignment="true" applyProtection="true">
      <alignment horizontal="right" vertical="center" textRotation="0" wrapText="false" indent="1" shrinkToFit="false"/>
      <protection locked="false" hidden="false"/>
    </xf>
    <xf numFmtId="164" fontId="14" fillId="0" borderId="23" xfId="0" applyFont="true" applyBorder="true" applyAlignment="true" applyProtection="true">
      <alignment horizontal="right" vertical="center" textRotation="0" wrapText="true" indent="1" shrinkToFit="false"/>
      <protection locked="false" hidden="false"/>
    </xf>
    <xf numFmtId="164" fontId="4" fillId="0" borderId="24" xfId="0" applyFont="true" applyBorder="true" applyAlignment="true" applyProtection="false">
      <alignment horizontal="center" vertical="center" textRotation="0" wrapText="false" indent="0" shrinkToFit="false"/>
      <protection locked="true" hidden="false"/>
    </xf>
    <xf numFmtId="164" fontId="14" fillId="0" borderId="25" xfId="0" applyFont="true" applyBorder="true" applyAlignment="true" applyProtection="true">
      <alignment horizontal="right" vertical="center" textRotation="0" wrapText="true" indent="1" shrinkToFit="false"/>
      <protection locked="false" hidden="false"/>
    </xf>
    <xf numFmtId="164" fontId="14" fillId="5" borderId="26" xfId="0" applyFont="true" applyBorder="true" applyAlignment="true" applyProtection="true">
      <alignment horizontal="right" vertical="center" textRotation="0" wrapText="false" indent="1" shrinkToFit="false"/>
      <protection locked="false" hidden="false"/>
    </xf>
    <xf numFmtId="164" fontId="15" fillId="5" borderId="27" xfId="0" applyFont="true" applyBorder="true" applyAlignment="true" applyProtection="false">
      <alignment horizontal="general" vertical="center" textRotation="0" wrapText="false" indent="0" shrinkToFit="false"/>
      <protection locked="true" hidden="false"/>
    </xf>
    <xf numFmtId="164" fontId="4" fillId="0" borderId="5" xfId="0" applyFont="true" applyBorder="true" applyAlignment="false" applyProtection="false">
      <alignment horizontal="general" vertical="bottom" textRotation="0" wrapText="false" indent="0" shrinkToFit="false"/>
      <protection locked="true" hidden="false"/>
    </xf>
    <xf numFmtId="164" fontId="16" fillId="0" borderId="28" xfId="0" applyFont="true" applyBorder="true" applyAlignment="true" applyProtection="false">
      <alignment horizontal="right" vertical="center" textRotation="0" wrapText="false" indent="0" shrinkToFit="false"/>
      <protection locked="true" hidden="false"/>
    </xf>
    <xf numFmtId="164" fontId="5" fillId="0" borderId="28" xfId="0" applyFont="true" applyBorder="true" applyAlignment="true" applyProtection="false">
      <alignment horizontal="right" vertical="center" textRotation="0" wrapText="false" indent="0" shrinkToFit="false"/>
      <protection locked="true" hidden="false"/>
    </xf>
    <xf numFmtId="164" fontId="16" fillId="0" borderId="28" xfId="0" applyFont="true" applyBorder="true" applyAlignment="true" applyProtection="false">
      <alignment horizontal="general" vertical="center" textRotation="0" wrapText="false" indent="0" shrinkToFit="false"/>
      <protection locked="true" hidden="false"/>
    </xf>
    <xf numFmtId="164" fontId="16" fillId="0" borderId="29" xfId="0" applyFont="true" applyBorder="true" applyAlignment="true" applyProtection="false">
      <alignment horizontal="general" vertical="center" textRotation="0" wrapText="false" indent="0" shrinkToFit="false"/>
      <protection locked="true" hidden="false"/>
    </xf>
    <xf numFmtId="164" fontId="4" fillId="0" borderId="16"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right" vertical="center" textRotation="0" wrapText="false" indent="0" shrinkToFit="false"/>
      <protection locked="true" hidden="false"/>
    </xf>
    <xf numFmtId="164" fontId="5" fillId="0" borderId="0" xfId="0" applyFont="true" applyBorder="false" applyAlignment="true" applyProtection="false">
      <alignment horizontal="right" vertical="center" textRotation="0" wrapText="false" indent="0" shrinkToFit="false"/>
      <protection locked="true" hidden="false"/>
    </xf>
    <xf numFmtId="164" fontId="16" fillId="0" borderId="0" xfId="0" applyFont="true" applyBorder="false" applyAlignment="true" applyProtection="false">
      <alignment horizontal="general" vertical="center" textRotation="0" wrapText="false" indent="0" shrinkToFit="false"/>
      <protection locked="true" hidden="false"/>
    </xf>
    <xf numFmtId="164" fontId="16" fillId="0" borderId="30" xfId="0" applyFont="true" applyBorder="true" applyAlignment="true" applyProtection="false">
      <alignment horizontal="general" vertical="center" textRotation="0" wrapText="false" indent="0" shrinkToFit="false"/>
      <protection locked="true" hidden="false"/>
    </xf>
    <xf numFmtId="164" fontId="16" fillId="6" borderId="0" xfId="0" applyFont="true" applyBorder="false" applyAlignment="true" applyProtection="false">
      <alignment horizontal="general" vertical="center" textRotation="0" wrapText="false" indent="0" shrinkToFit="false"/>
      <protection locked="true" hidden="false"/>
    </xf>
    <xf numFmtId="164" fontId="16" fillId="6" borderId="30" xfId="0" applyFont="true" applyBorder="true" applyAlignment="true" applyProtection="false">
      <alignment horizontal="general" vertical="center" textRotation="0" wrapText="false" indent="0" shrinkToFit="false"/>
      <protection locked="true" hidden="false"/>
    </xf>
    <xf numFmtId="164" fontId="4" fillId="0" borderId="24" xfId="0" applyFont="true" applyBorder="true" applyAlignment="false" applyProtection="false">
      <alignment horizontal="general" vertical="bottom" textRotation="0" wrapText="false" indent="0" shrinkToFit="false"/>
      <protection locked="true" hidden="false"/>
    </xf>
    <xf numFmtId="164" fontId="16" fillId="0" borderId="26" xfId="0" applyFont="true" applyBorder="true" applyAlignment="true" applyProtection="false">
      <alignment horizontal="right" vertical="center" textRotation="0" wrapText="false" indent="0" shrinkToFit="false"/>
      <protection locked="true" hidden="false"/>
    </xf>
    <xf numFmtId="164" fontId="5" fillId="0" borderId="26" xfId="0" applyFont="true" applyBorder="true" applyAlignment="true" applyProtection="false">
      <alignment horizontal="right" vertical="center" textRotation="0" wrapText="false" indent="0" shrinkToFit="false"/>
      <protection locked="true" hidden="false"/>
    </xf>
    <xf numFmtId="164" fontId="16" fillId="6" borderId="26" xfId="0" applyFont="true" applyBorder="true" applyAlignment="true" applyProtection="false">
      <alignment horizontal="general" vertical="center" textRotation="0" wrapText="false" indent="0" shrinkToFit="false"/>
      <protection locked="true" hidden="false"/>
    </xf>
    <xf numFmtId="164" fontId="12" fillId="6" borderId="27" xfId="0" applyFont="true" applyBorder="true" applyAlignment="true" applyProtection="false">
      <alignment horizontal="general" vertical="center" textRotation="0" wrapText="false" indent="0" shrinkToFit="false"/>
      <protection locked="true" hidden="false"/>
    </xf>
    <xf numFmtId="164" fontId="4" fillId="7" borderId="0" xfId="0" applyFont="true" applyBorder="false" applyAlignment="false" applyProtection="false">
      <alignment horizontal="general" vertical="bottom" textRotation="0" wrapText="false" indent="0" shrinkToFit="false"/>
      <protection locked="true" hidden="false"/>
    </xf>
    <xf numFmtId="168" fontId="10" fillId="3" borderId="1" xfId="0" applyFont="true" applyBorder="true" applyAlignment="true" applyProtection="false">
      <alignment horizontal="center" vertical="center" textRotation="0" wrapText="false" indent="0" shrinkToFit="false"/>
      <protection locked="true" hidden="false"/>
    </xf>
    <xf numFmtId="164" fontId="12" fillId="3" borderId="31" xfId="0" applyFont="true" applyBorder="true" applyAlignment="true" applyProtection="false">
      <alignment horizontal="general" vertical="center" textRotation="0" wrapText="false" indent="0" shrinkToFit="false"/>
      <protection locked="true" hidden="false"/>
    </xf>
    <xf numFmtId="164" fontId="12" fillId="3" borderId="32" xfId="0" applyFont="true" applyBorder="true" applyAlignment="true" applyProtection="false">
      <alignment horizontal="general" vertical="center" textRotation="0" wrapText="false" indent="0" shrinkToFit="false"/>
      <protection locked="true" hidden="false"/>
    </xf>
    <xf numFmtId="164" fontId="12" fillId="2" borderId="33" xfId="0" applyFont="true" applyBorder="true" applyAlignment="true" applyProtection="false">
      <alignment horizontal="general" vertical="center" textRotation="0" wrapText="false" indent="0" shrinkToFit="false"/>
      <protection locked="true" hidden="false"/>
    </xf>
    <xf numFmtId="164" fontId="12" fillId="2" borderId="0" xfId="0" applyFont="true" applyBorder="false" applyAlignment="true" applyProtection="false">
      <alignment horizontal="general" vertical="center" textRotation="0" wrapText="false" indent="0" shrinkToFit="false"/>
      <protection locked="true" hidden="false"/>
    </xf>
    <xf numFmtId="168" fontId="13" fillId="4" borderId="3" xfId="0" applyFont="true" applyBorder="true" applyAlignment="true" applyProtection="false">
      <alignment horizontal="center" vertical="center" textRotation="0" wrapText="false" indent="0" shrinkToFit="false"/>
      <protection locked="true" hidden="false"/>
    </xf>
    <xf numFmtId="167" fontId="14" fillId="0" borderId="34" xfId="0" applyFont="true" applyBorder="true" applyAlignment="true" applyProtection="true">
      <alignment horizontal="general" vertical="center" textRotation="0" wrapText="false" indent="0" shrinkToFit="false"/>
      <protection locked="false" hidden="false"/>
    </xf>
    <xf numFmtId="167" fontId="14" fillId="5" borderId="35" xfId="0" applyFont="true" applyBorder="true" applyAlignment="true" applyProtection="true">
      <alignment horizontal="general" vertical="center" textRotation="0" wrapText="false" indent="0" shrinkToFit="false"/>
      <protection locked="false" hidden="false"/>
    </xf>
    <xf numFmtId="167" fontId="14" fillId="0" borderId="36" xfId="0" applyFont="true" applyBorder="true" applyAlignment="true" applyProtection="true">
      <alignment horizontal="general" vertical="center" textRotation="0" wrapText="false" indent="0" shrinkToFit="false"/>
      <protection locked="fals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center" textRotation="0" wrapText="false" indent="0" shrinkToFit="false"/>
      <protection locked="true" hidden="false"/>
    </xf>
    <xf numFmtId="164" fontId="20" fillId="3" borderId="0" xfId="0" applyFont="true" applyBorder="false" applyAlignment="true" applyProtection="false">
      <alignment horizontal="general" vertical="center" textRotation="0" wrapText="false" indent="0" shrinkToFit="false"/>
      <protection locked="true" hidden="false"/>
    </xf>
    <xf numFmtId="164" fontId="4" fillId="3" borderId="0" xfId="0" applyFont="true" applyBorder="false" applyAlignment="true" applyProtection="false">
      <alignment horizontal="general" vertical="center" textRotation="0" wrapText="false" indent="0" shrinkToFit="false"/>
      <protection locked="true" hidden="false"/>
    </xf>
    <xf numFmtId="164" fontId="20" fillId="3" borderId="0" xfId="0" applyFont="true" applyBorder="false" applyAlignment="true" applyProtection="false">
      <alignment horizontal="general" vertical="center" textRotation="0" wrapText="true" indent="0" shrinkToFit="false"/>
      <protection locked="true" hidden="false"/>
    </xf>
    <xf numFmtId="164" fontId="22" fillId="3" borderId="37"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6">
    <dxf>
      <fill>
        <patternFill patternType="solid">
          <fgColor rgb="FF8FB9AB"/>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404040"/>
          <bgColor rgb="FF000000"/>
        </patternFill>
      </fill>
    </dxf>
    <dxf>
      <fill>
        <patternFill patternType="solid">
          <fgColor rgb="FFFFF2CC"/>
          <bgColor rgb="FF000000"/>
        </patternFill>
      </fill>
    </dxf>
    <dxf>
      <font>
        <color rgb="FF548235"/>
      </font>
    </dxf>
    <dxf>
      <font>
        <color rgb="FFC00000"/>
      </font>
    </dxf>
    <dxf>
      <font>
        <color rgb="FF548235"/>
      </font>
    </dxf>
    <dxf>
      <font>
        <color rgb="FFC00000"/>
      </font>
    </dxf>
    <dxf>
      <font>
        <color rgb="FF548235"/>
      </font>
    </dxf>
    <dxf>
      <font>
        <color rgb="FFC00000"/>
      </font>
    </dxf>
    <dxf>
      <font>
        <color rgb="FF548235"/>
      </font>
    </dxf>
    <dxf>
      <font>
        <color rgb="FFC00000"/>
      </font>
    </dxf>
    <dxf>
      <font>
        <color rgb="FFFFFFFF"/>
      </font>
      <fill>
        <patternFill/>
      </fill>
    </dxf>
    <dxf>
      <font>
        <color rgb="FFFDDBB1"/>
      </font>
      <fill>
        <patternFill>
          <bgColor rgb="FFFDDBB1"/>
        </patternFill>
      </fill>
    </dxf>
    <dxf>
      <font>
        <color rgb="FF548235"/>
      </font>
    </dxf>
    <dxf>
      <font>
        <color rgb="FFC00000"/>
      </font>
    </dxf>
    <dxf>
      <font>
        <color rgb="FF548235"/>
      </font>
    </dxf>
    <dxf>
      <font>
        <color rgb="FFC00000"/>
      </font>
    </dxf>
    <dxf>
      <font>
        <color rgb="FF548235"/>
      </font>
    </dxf>
    <dxf>
      <font>
        <color rgb="FFC00000"/>
      </font>
    </dxf>
    <dxf>
      <font>
        <color rgb="FF548235"/>
      </font>
    </dxf>
    <dxf>
      <font>
        <color rgb="FFC00000"/>
      </font>
    </dxf>
    <dxf>
      <font>
        <color rgb="FFFFFFFF"/>
      </font>
      <fill>
        <patternFill/>
      </fill>
    </dxf>
    <dxf>
      <font>
        <color rgb="FFFDDBB1"/>
      </font>
      <fill>
        <patternFill>
          <bgColor rgb="FFFDDBB1"/>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A6A6A6"/>
      <rgbColor rgb="FF808080"/>
      <rgbColor rgb="FF9999FF"/>
      <rgbColor rgb="FF993366"/>
      <rgbColor rgb="FFFFF2CC"/>
      <rgbColor rgb="FFEDF0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8FB9AB"/>
      <rgbColor rgb="FFFF99CC"/>
      <rgbColor rgb="FFCC99FF"/>
      <rgbColor rgb="FFFDDBB1"/>
      <rgbColor rgb="FF3366FF"/>
      <rgbColor rgb="FF33CCCC"/>
      <rgbColor rgb="FF99CC00"/>
      <rgbColor rgb="FFFFCC00"/>
      <rgbColor rgb="FFFF9900"/>
      <rgbColor rgb="FFED7D31"/>
      <rgbColor rgb="FF595959"/>
      <rgbColor rgb="FF969696"/>
      <rgbColor rgb="FF003366"/>
      <rgbColor rgb="FF70AD47"/>
      <rgbColor rgb="FF003300"/>
      <rgbColor rgb="FF333300"/>
      <rgbColor rgb="FF993300"/>
      <rgbColor rgb="FF993366"/>
      <rgbColor rgb="FF44546A"/>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lang="en-AU" sz="1400" b="0" u="none" strike="noStrike">
                <a:solidFill>
                  <a:schemeClr val="tx1">
                    <a:lumMod val="65000"/>
                    <a:lumOff val="35000"/>
                  </a:schemeClr>
                </a:solidFill>
                <a:uFillTx/>
                <a:latin typeface="Calibri"/>
              </a:rPr>
              <a:t>Project Budget versus Actual Cost</a:t>
            </a:r>
          </a:p>
        </c:rich>
      </c:tx>
      <c:overlay val="0"/>
      <c:spPr>
        <a:noFill/>
        <a:ln w="0">
          <a:noFill/>
        </a:ln>
      </c:spPr>
    </c:title>
    <c:autoTitleDeleted val="0"/>
    <c:plotArea>
      <c:lineChart>
        <c:grouping val="standard"/>
        <c:varyColors val="0"/>
        <c:ser>
          <c:idx val="0"/>
          <c:order val="0"/>
          <c:tx>
            <c:strRef>
              <c:f>"Actual Cost"</c:f>
              <c:strCache>
                <c:ptCount val="1"/>
                <c:pt idx="0">
                  <c:v>Actual Cost</c:v>
                </c:pt>
              </c:strCache>
            </c:strRef>
          </c:tx>
          <c:spPr>
            <a:solidFill>
              <a:srgbClr val="70AD47"/>
            </a:solidFill>
            <a:ln cap="rnd" w="28440">
              <a:solidFill>
                <a:schemeClr val="accent6"/>
              </a:solidFill>
              <a:round/>
            </a:ln>
          </c:spPr>
          <c:marker>
            <c:symbol val="diamond"/>
            <c:size val="6"/>
            <c:spPr>
              <a:solidFill>
                <a:srgbClr val="70AD47"/>
              </a:solidFill>
            </c:spPr>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multiLvlStrRef>
              <c:f>'Budget vs Actual Monthly - List'!$E$5:$Q$5</c:f>
              <c:multiLvlStrCache>
                <c:ptCount val="1"/>
                <c:lvl>
                  <c:pt idx="0">
                    <c:v>06/24</c:v>
                  </c:pt>
                </c:lvl>
                <c:lvl>
                  <c:pt idx="0">
                    <c:v>05/24</c:v>
                  </c:pt>
                </c:lvl>
                <c:lvl>
                  <c:pt idx="0">
                    <c:v>04/24</c:v>
                  </c:pt>
                </c:lvl>
                <c:lvl>
                  <c:pt idx="0">
                    <c:v>03/24</c:v>
                  </c:pt>
                </c:lvl>
                <c:lvl>
                  <c:pt idx="0">
                    <c:v>02/24</c:v>
                  </c:pt>
                </c:lvl>
                <c:lvl>
                  <c:pt idx="0">
                    <c:v>01/24</c:v>
                  </c:pt>
                </c:lvl>
                <c:lvl>
                  <c:pt idx="0">
                    <c:v>12/23</c:v>
                  </c:pt>
                </c:lvl>
                <c:lvl>
                  <c:pt idx="0">
                    <c:v>11/23</c:v>
                  </c:pt>
                </c:lvl>
                <c:lvl>
                  <c:pt idx="0">
                    <c:v>10/23</c:v>
                  </c:pt>
                </c:lvl>
                <c:lvl>
                  <c:pt idx="0">
                    <c:v>09/23</c:v>
                  </c:pt>
                </c:lvl>
                <c:lvl>
                  <c:pt idx="0">
                    <c:v>08/23</c:v>
                  </c:pt>
                </c:lvl>
                <c:lvl>
                  <c:pt idx="0">
                    <c:v>07/23</c:v>
                  </c:pt>
                </c:lvl>
                <c:lvl>
                  <c:pt idx="0">
                    <c:v>06/23</c:v>
                  </c:pt>
                </c:lvl>
              </c:multiLvlStrCache>
            </c:multiLvlStrRef>
          </c:cat>
          <c:val>
            <c:numRef>
              <c:f>'Budget vs Actual Monthly - List'!$E$49:$Q$49</c:f>
              <c:numCache>
                <c:formatCode>General</c:formatCode>
                <c:ptCount val="13"/>
                <c:pt idx="0">
                  <c:v>11</c:v>
                </c:pt>
                <c:pt idx="1">
                  <c:v>22</c:v>
                </c:pt>
                <c:pt idx="2">
                  <c:v>34</c:v>
                </c:pt>
                <c:pt idx="3">
                  <c:v>40</c:v>
                </c:pt>
                <c:pt idx="4">
                  <c:v>49</c:v>
                </c:pt>
              </c:numCache>
            </c:numRef>
          </c:val>
          <c:smooth val="0"/>
        </c:ser>
        <c:ser>
          <c:idx val="1"/>
          <c:order val="1"/>
          <c:tx>
            <c:strRef>
              <c:f>"Budgeted"</c:f>
              <c:strCache>
                <c:ptCount val="1"/>
                <c:pt idx="0">
                  <c:v>Budgeted</c:v>
                </c:pt>
              </c:strCache>
            </c:strRef>
          </c:tx>
          <c:spPr>
            <a:solidFill>
              <a:srgbClr val="ED7D31"/>
            </a:solidFill>
            <a:ln cap="rnd" w="28440">
              <a:solidFill>
                <a:schemeClr val="accent2"/>
              </a:solidFill>
              <a:round/>
            </a:ln>
          </c:spPr>
          <c:marker>
            <c:symbol val="diamond"/>
            <c:size val="6"/>
            <c:spPr>
              <a:solidFill>
                <a:srgbClr val="ED7D31"/>
              </a:solidFill>
            </c:spPr>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multiLvlStrRef>
              <c:f>'Budget vs Actual Monthly - List'!$E$5:$Q$5</c:f>
              <c:multiLvlStrCache>
                <c:ptCount val="1"/>
                <c:lvl>
                  <c:pt idx="0">
                    <c:v>06/24</c:v>
                  </c:pt>
                </c:lvl>
                <c:lvl>
                  <c:pt idx="0">
                    <c:v>05/24</c:v>
                  </c:pt>
                </c:lvl>
                <c:lvl>
                  <c:pt idx="0">
                    <c:v>04/24</c:v>
                  </c:pt>
                </c:lvl>
                <c:lvl>
                  <c:pt idx="0">
                    <c:v>03/24</c:v>
                  </c:pt>
                </c:lvl>
                <c:lvl>
                  <c:pt idx="0">
                    <c:v>02/24</c:v>
                  </c:pt>
                </c:lvl>
                <c:lvl>
                  <c:pt idx="0">
                    <c:v>01/24</c:v>
                  </c:pt>
                </c:lvl>
                <c:lvl>
                  <c:pt idx="0">
                    <c:v>12/23</c:v>
                  </c:pt>
                </c:lvl>
                <c:lvl>
                  <c:pt idx="0">
                    <c:v>11/23</c:v>
                  </c:pt>
                </c:lvl>
                <c:lvl>
                  <c:pt idx="0">
                    <c:v>10/23</c:v>
                  </c:pt>
                </c:lvl>
                <c:lvl>
                  <c:pt idx="0">
                    <c:v>09/23</c:v>
                  </c:pt>
                </c:lvl>
                <c:lvl>
                  <c:pt idx="0">
                    <c:v>08/23</c:v>
                  </c:pt>
                </c:lvl>
                <c:lvl>
                  <c:pt idx="0">
                    <c:v>07/23</c:v>
                  </c:pt>
                </c:lvl>
                <c:lvl>
                  <c:pt idx="0">
                    <c:v>06/23</c:v>
                  </c:pt>
                </c:lvl>
              </c:multiLvlStrCache>
            </c:multiLvlStrRef>
          </c:cat>
          <c:val>
            <c:numRef>
              <c:f>'Budget vs Actual Monthly - List'!$E$47:$Q$47</c:f>
              <c:numCache>
                <c:formatCode>General</c:formatCode>
                <c:ptCount val="13"/>
                <c:pt idx="0">
                  <c:v>11</c:v>
                </c:pt>
                <c:pt idx="1">
                  <c:v>17</c:v>
                </c:pt>
                <c:pt idx="2">
                  <c:v>26</c:v>
                </c:pt>
                <c:pt idx="3">
                  <c:v>30</c:v>
                </c:pt>
                <c:pt idx="4">
                  <c:v>40</c:v>
                </c:pt>
              </c:numCache>
            </c:numRef>
          </c:val>
          <c:smooth val="0"/>
        </c:ser>
        <c:hiLowLines>
          <c:spPr>
            <a:ln w="0">
              <a:noFill/>
            </a:ln>
          </c:spPr>
        </c:hiLowLines>
        <c:marker val="1"/>
        <c:axId val="94343273"/>
        <c:axId val="92133106"/>
      </c:lineChart>
      <c:dateAx>
        <c:axId val="94343273"/>
        <c:scaling>
          <c:orientation val="minMax"/>
        </c:scaling>
        <c:delete val="0"/>
        <c:axPos val="b"/>
        <c:numFmt formatCode="mmm\-yy" sourceLinked="0"/>
        <c:majorTickMark val="out"/>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92133106"/>
        <c:crosses val="autoZero"/>
        <c:auto val="1"/>
        <c:lblOffset val="100"/>
        <c:baseTimeUnit val="months"/>
      </c:dateAx>
      <c:valAx>
        <c:axId val="92133106"/>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94343273"/>
        <c:crosses val="autoZero"/>
        <c:crossBetween val="between"/>
      </c:valAx>
      <c:spPr>
        <a:no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p>
      </c:txPr>
    </c:legend>
    <c:plotVisOnly val="0"/>
    <c:dispBlanksAs val="zero"/>
  </c:chart>
  <c:spPr>
    <a:solidFill>
      <a:srgbClr val="FFFFFF"/>
    </a:solidFill>
    <a:ln w="28440">
      <a:solidFill>
        <a:schemeClr val="dk2"/>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lang="en-AU" sz="1400" b="0" u="none" strike="noStrike">
                <a:solidFill>
                  <a:schemeClr val="tx1">
                    <a:lumMod val="65000"/>
                    <a:lumOff val="35000"/>
                  </a:schemeClr>
                </a:solidFill>
                <a:uFillTx/>
                <a:latin typeface="Calibri"/>
              </a:rPr>
              <a:t>Project Budget versus Actual Cost</a:t>
            </a:r>
          </a:p>
        </c:rich>
      </c:tx>
      <c:overlay val="0"/>
      <c:spPr>
        <a:noFill/>
        <a:ln w="0">
          <a:noFill/>
        </a:ln>
      </c:spPr>
    </c:title>
    <c:autoTitleDeleted val="0"/>
    <c:plotArea>
      <c:lineChart>
        <c:grouping val="standard"/>
        <c:varyColors val="0"/>
        <c:ser>
          <c:idx val="0"/>
          <c:order val="0"/>
          <c:tx>
            <c:strRef>
              <c:f>"Actual Cost"</c:f>
              <c:strCache>
                <c:ptCount val="1"/>
                <c:pt idx="0">
                  <c:v>Actual Cost</c:v>
                </c:pt>
              </c:strCache>
            </c:strRef>
          </c:tx>
          <c:spPr>
            <a:solidFill>
              <a:srgbClr val="70AD47"/>
            </a:solidFill>
            <a:ln cap="rnd" w="28440">
              <a:solidFill>
                <a:schemeClr val="accent6"/>
              </a:solidFill>
              <a:round/>
            </a:ln>
          </c:spPr>
          <c:marker>
            <c:symbol val="diamond"/>
            <c:size val="6"/>
            <c:spPr>
              <a:solidFill>
                <a:srgbClr val="70AD47"/>
              </a:solidFill>
            </c:spPr>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multiLvlStrRef>
              <c:f>'Budget vs Actual Monthly - List'!$E$5:$Q$5</c:f>
              <c:multiLvlStrCache>
                <c:ptCount val="1"/>
                <c:lvl>
                  <c:pt idx="0">
                    <c:v>06/24</c:v>
                  </c:pt>
                </c:lvl>
                <c:lvl>
                  <c:pt idx="0">
                    <c:v>05/24</c:v>
                  </c:pt>
                </c:lvl>
                <c:lvl>
                  <c:pt idx="0">
                    <c:v>04/24</c:v>
                  </c:pt>
                </c:lvl>
                <c:lvl>
                  <c:pt idx="0">
                    <c:v>03/24</c:v>
                  </c:pt>
                </c:lvl>
                <c:lvl>
                  <c:pt idx="0">
                    <c:v>02/24</c:v>
                  </c:pt>
                </c:lvl>
                <c:lvl>
                  <c:pt idx="0">
                    <c:v>01/24</c:v>
                  </c:pt>
                </c:lvl>
                <c:lvl>
                  <c:pt idx="0">
                    <c:v>12/23</c:v>
                  </c:pt>
                </c:lvl>
                <c:lvl>
                  <c:pt idx="0">
                    <c:v>11/23</c:v>
                  </c:pt>
                </c:lvl>
                <c:lvl>
                  <c:pt idx="0">
                    <c:v>10/23</c:v>
                  </c:pt>
                </c:lvl>
                <c:lvl>
                  <c:pt idx="0">
                    <c:v>09/23</c:v>
                  </c:pt>
                </c:lvl>
                <c:lvl>
                  <c:pt idx="0">
                    <c:v>08/23</c:v>
                  </c:pt>
                </c:lvl>
                <c:lvl>
                  <c:pt idx="0">
                    <c:v>07/23</c:v>
                  </c:pt>
                </c:lvl>
                <c:lvl>
                  <c:pt idx="0">
                    <c:v>06/23</c:v>
                  </c:pt>
                </c:lvl>
              </c:multiLvlStrCache>
            </c:multiLvlStrRef>
          </c:cat>
          <c:val>
            <c:numRef>
              <c:f>'Budget vs Actual Monthly - List'!$E$49:$Q$49</c:f>
              <c:numCache>
                <c:formatCode>General</c:formatCode>
                <c:ptCount val="13"/>
                <c:pt idx="0">
                  <c:v>11</c:v>
                </c:pt>
                <c:pt idx="1">
                  <c:v>22</c:v>
                </c:pt>
                <c:pt idx="2">
                  <c:v>34</c:v>
                </c:pt>
                <c:pt idx="3">
                  <c:v>40</c:v>
                </c:pt>
                <c:pt idx="4">
                  <c:v>49</c:v>
                </c:pt>
              </c:numCache>
            </c:numRef>
          </c:val>
          <c:smooth val="0"/>
        </c:ser>
        <c:ser>
          <c:idx val="1"/>
          <c:order val="1"/>
          <c:tx>
            <c:strRef>
              <c:f>"Budgeted"</c:f>
              <c:strCache>
                <c:ptCount val="1"/>
                <c:pt idx="0">
                  <c:v>Budgeted</c:v>
                </c:pt>
              </c:strCache>
            </c:strRef>
          </c:tx>
          <c:spPr>
            <a:solidFill>
              <a:srgbClr val="ED7D31"/>
            </a:solidFill>
            <a:ln cap="rnd" w="28440">
              <a:solidFill>
                <a:schemeClr val="accent2"/>
              </a:solidFill>
              <a:round/>
            </a:ln>
          </c:spPr>
          <c:marker>
            <c:symbol val="diamond"/>
            <c:size val="6"/>
            <c:spPr>
              <a:solidFill>
                <a:srgbClr val="ED7D31"/>
              </a:solidFill>
            </c:spPr>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multiLvlStrRef>
              <c:f>'Budget vs Actual Monthly - List'!$E$5:$Q$5</c:f>
              <c:multiLvlStrCache>
                <c:ptCount val="1"/>
                <c:lvl>
                  <c:pt idx="0">
                    <c:v>06/24</c:v>
                  </c:pt>
                </c:lvl>
                <c:lvl>
                  <c:pt idx="0">
                    <c:v>05/24</c:v>
                  </c:pt>
                </c:lvl>
                <c:lvl>
                  <c:pt idx="0">
                    <c:v>04/24</c:v>
                  </c:pt>
                </c:lvl>
                <c:lvl>
                  <c:pt idx="0">
                    <c:v>03/24</c:v>
                  </c:pt>
                </c:lvl>
                <c:lvl>
                  <c:pt idx="0">
                    <c:v>02/24</c:v>
                  </c:pt>
                </c:lvl>
                <c:lvl>
                  <c:pt idx="0">
                    <c:v>01/24</c:v>
                  </c:pt>
                </c:lvl>
                <c:lvl>
                  <c:pt idx="0">
                    <c:v>12/23</c:v>
                  </c:pt>
                </c:lvl>
                <c:lvl>
                  <c:pt idx="0">
                    <c:v>11/23</c:v>
                  </c:pt>
                </c:lvl>
                <c:lvl>
                  <c:pt idx="0">
                    <c:v>10/23</c:v>
                  </c:pt>
                </c:lvl>
                <c:lvl>
                  <c:pt idx="0">
                    <c:v>09/23</c:v>
                  </c:pt>
                </c:lvl>
                <c:lvl>
                  <c:pt idx="0">
                    <c:v>08/23</c:v>
                  </c:pt>
                </c:lvl>
                <c:lvl>
                  <c:pt idx="0">
                    <c:v>07/23</c:v>
                  </c:pt>
                </c:lvl>
                <c:lvl>
                  <c:pt idx="0">
                    <c:v>06/23</c:v>
                  </c:pt>
                </c:lvl>
              </c:multiLvlStrCache>
            </c:multiLvlStrRef>
          </c:cat>
          <c:val>
            <c:numRef>
              <c:f>'Budget vs Actual Monthly - List'!$E$47:$Q$47</c:f>
              <c:numCache>
                <c:formatCode>General</c:formatCode>
                <c:ptCount val="13"/>
                <c:pt idx="0">
                  <c:v>11</c:v>
                </c:pt>
                <c:pt idx="1">
                  <c:v>17</c:v>
                </c:pt>
                <c:pt idx="2">
                  <c:v>26</c:v>
                </c:pt>
                <c:pt idx="3">
                  <c:v>30</c:v>
                </c:pt>
                <c:pt idx="4">
                  <c:v>40</c:v>
                </c:pt>
              </c:numCache>
            </c:numRef>
          </c:val>
          <c:smooth val="0"/>
        </c:ser>
        <c:hiLowLines>
          <c:spPr>
            <a:ln w="0">
              <a:noFill/>
            </a:ln>
          </c:spPr>
        </c:hiLowLines>
        <c:marker val="1"/>
        <c:axId val="50589746"/>
        <c:axId val="58027100"/>
      </c:lineChart>
      <c:dateAx>
        <c:axId val="50589746"/>
        <c:scaling>
          <c:orientation val="minMax"/>
        </c:scaling>
        <c:delete val="0"/>
        <c:axPos val="b"/>
        <c:numFmt formatCode="mmm\-yy" sourceLinked="0"/>
        <c:majorTickMark val="out"/>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58027100"/>
        <c:crosses val="autoZero"/>
        <c:auto val="1"/>
        <c:lblOffset val="100"/>
        <c:baseTimeUnit val="months"/>
      </c:dateAx>
      <c:valAx>
        <c:axId val="58027100"/>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50589746"/>
        <c:crosses val="autoZero"/>
        <c:crossBetween val="between"/>
      </c:valAx>
      <c:spPr>
        <a:no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p>
      </c:txPr>
    </c:legend>
    <c:plotVisOnly val="0"/>
    <c:dispBlanksAs val="zero"/>
  </c:chart>
  <c:spPr>
    <a:solidFill>
      <a:srgbClr val="FFFFFF"/>
    </a:solidFill>
    <a:ln w="28440">
      <a:solidFill>
        <a:schemeClr val="dk2"/>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lang="en-AU" sz="1400" b="0" u="none" strike="noStrike">
                <a:solidFill>
                  <a:schemeClr val="tx1">
                    <a:lumMod val="65000"/>
                    <a:lumOff val="35000"/>
                  </a:schemeClr>
                </a:solidFill>
                <a:uFillTx/>
                <a:latin typeface="Calibri"/>
              </a:rPr>
              <a:t>Project Budget versus Actual Cost - Weekly</a:t>
            </a:r>
          </a:p>
        </c:rich>
      </c:tx>
      <c:overlay val="0"/>
      <c:spPr>
        <a:noFill/>
        <a:ln w="0">
          <a:noFill/>
        </a:ln>
      </c:spPr>
    </c:title>
    <c:autoTitleDeleted val="0"/>
    <c:plotArea>
      <c:lineChart>
        <c:grouping val="standard"/>
        <c:varyColors val="0"/>
        <c:ser>
          <c:idx val="0"/>
          <c:order val="0"/>
          <c:tx>
            <c:strRef>
              <c:f>"Actual Cost"</c:f>
              <c:strCache>
                <c:ptCount val="1"/>
                <c:pt idx="0">
                  <c:v>Actual Cost</c:v>
                </c:pt>
              </c:strCache>
            </c:strRef>
          </c:tx>
          <c:spPr>
            <a:solidFill>
              <a:srgbClr val="70AD47"/>
            </a:solidFill>
            <a:ln cap="rnd" w="28440">
              <a:solidFill>
                <a:schemeClr val="accent6"/>
              </a:solidFill>
              <a:round/>
            </a:ln>
          </c:spPr>
          <c:marker>
            <c:symbol val="diamond"/>
            <c:size val="6"/>
            <c:spPr>
              <a:solidFill>
                <a:srgbClr val="70AD47"/>
              </a:solidFill>
            </c:spPr>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multiLvlStrRef>
              <c:f>'Budget vs Actual Weekly - List'!$E$5:$BF$5</c:f>
              <c:multiLvlStrCache>
                <c:ptCount val="1"/>
                <c:lvl>
                  <c:pt idx="0">
                    <c:v>5 Jul 24</c:v>
                  </c:pt>
                </c:lvl>
                <c:lvl>
                  <c:pt idx="0">
                    <c:v>28 Jun 24</c:v>
                  </c:pt>
                </c:lvl>
                <c:lvl>
                  <c:pt idx="0">
                    <c:v>21 Jun 24</c:v>
                  </c:pt>
                </c:lvl>
                <c:lvl>
                  <c:pt idx="0">
                    <c:v>14 Jun 24</c:v>
                  </c:pt>
                </c:lvl>
                <c:lvl>
                  <c:pt idx="0">
                    <c:v>7 Jun 24</c:v>
                  </c:pt>
                </c:lvl>
                <c:lvl>
                  <c:pt idx="0">
                    <c:v>31 May 24</c:v>
                  </c:pt>
                </c:lvl>
                <c:lvl>
                  <c:pt idx="0">
                    <c:v>24 May 24</c:v>
                  </c:pt>
                </c:lvl>
                <c:lvl>
                  <c:pt idx="0">
                    <c:v>17 May 24</c:v>
                  </c:pt>
                </c:lvl>
                <c:lvl>
                  <c:pt idx="0">
                    <c:v>10 May 24</c:v>
                  </c:pt>
                </c:lvl>
                <c:lvl>
                  <c:pt idx="0">
                    <c:v>3 May 24</c:v>
                  </c:pt>
                </c:lvl>
                <c:lvl>
                  <c:pt idx="0">
                    <c:v>26 Apr 24</c:v>
                  </c:pt>
                </c:lvl>
                <c:lvl>
                  <c:pt idx="0">
                    <c:v>19 Apr 24</c:v>
                  </c:pt>
                </c:lvl>
                <c:lvl>
                  <c:pt idx="0">
                    <c:v>12 Apr 24</c:v>
                  </c:pt>
                </c:lvl>
                <c:lvl>
                  <c:pt idx="0">
                    <c:v>5 Apr 24</c:v>
                  </c:pt>
                </c:lvl>
                <c:lvl>
                  <c:pt idx="0">
                    <c:v>29 Mar 24</c:v>
                  </c:pt>
                </c:lvl>
                <c:lvl>
                  <c:pt idx="0">
                    <c:v>22 Mar 24</c:v>
                  </c:pt>
                </c:lvl>
                <c:lvl>
                  <c:pt idx="0">
                    <c:v>15 Mar 24</c:v>
                  </c:pt>
                </c:lvl>
                <c:lvl>
                  <c:pt idx="0">
                    <c:v>8 Mar 24</c:v>
                  </c:pt>
                </c:lvl>
                <c:lvl>
                  <c:pt idx="0">
                    <c:v>1 Mar 24</c:v>
                  </c:pt>
                </c:lvl>
                <c:lvl>
                  <c:pt idx="0">
                    <c:v>23 Feb 24</c:v>
                  </c:pt>
                </c:lvl>
                <c:lvl>
                  <c:pt idx="0">
                    <c:v>16 Feb 24</c:v>
                  </c:pt>
                </c:lvl>
                <c:lvl>
                  <c:pt idx="0">
                    <c:v>9 Feb 24</c:v>
                  </c:pt>
                </c:lvl>
                <c:lvl>
                  <c:pt idx="0">
                    <c:v>2 Feb 24</c:v>
                  </c:pt>
                </c:lvl>
                <c:lvl>
                  <c:pt idx="0">
                    <c:v>26 Jan 24</c:v>
                  </c:pt>
                </c:lvl>
                <c:lvl>
                  <c:pt idx="0">
                    <c:v>19 Jan 24</c:v>
                  </c:pt>
                </c:lvl>
                <c:lvl>
                  <c:pt idx="0">
                    <c:v>12 Jan 24</c:v>
                  </c:pt>
                </c:lvl>
                <c:lvl>
                  <c:pt idx="0">
                    <c:v>5 Jan 24</c:v>
                  </c:pt>
                </c:lvl>
                <c:lvl>
                  <c:pt idx="0">
                    <c:v>29 Dec 23</c:v>
                  </c:pt>
                </c:lvl>
                <c:lvl>
                  <c:pt idx="0">
                    <c:v>22 Dec 23</c:v>
                  </c:pt>
                </c:lvl>
                <c:lvl>
                  <c:pt idx="0">
                    <c:v>15 Dec 23</c:v>
                  </c:pt>
                </c:lvl>
                <c:lvl>
                  <c:pt idx="0">
                    <c:v>8 Dec 23</c:v>
                  </c:pt>
                </c:lvl>
                <c:lvl>
                  <c:pt idx="0">
                    <c:v>1 Dec 23</c:v>
                  </c:pt>
                </c:lvl>
                <c:lvl>
                  <c:pt idx="0">
                    <c:v>24 Nov 23</c:v>
                  </c:pt>
                </c:lvl>
                <c:lvl>
                  <c:pt idx="0">
                    <c:v>17 Nov 23</c:v>
                  </c:pt>
                </c:lvl>
                <c:lvl>
                  <c:pt idx="0">
                    <c:v>10 Nov 23</c:v>
                  </c:pt>
                </c:lvl>
                <c:lvl>
                  <c:pt idx="0">
                    <c:v>3 Nov 23</c:v>
                  </c:pt>
                </c:lvl>
                <c:lvl>
                  <c:pt idx="0">
                    <c:v>27 Oct 23</c:v>
                  </c:pt>
                </c:lvl>
                <c:lvl>
                  <c:pt idx="0">
                    <c:v>20 Oct 23</c:v>
                  </c:pt>
                </c:lvl>
                <c:lvl>
                  <c:pt idx="0">
                    <c:v>13 Oct 23</c:v>
                  </c:pt>
                </c:lvl>
                <c:lvl>
                  <c:pt idx="0">
                    <c:v>6 Oct 23</c:v>
                  </c:pt>
                </c:lvl>
                <c:lvl>
                  <c:pt idx="0">
                    <c:v>29 Sep 23</c:v>
                  </c:pt>
                </c:lvl>
                <c:lvl>
                  <c:pt idx="0">
                    <c:v>22 Sep 23</c:v>
                  </c:pt>
                </c:lvl>
                <c:lvl>
                  <c:pt idx="0">
                    <c:v>15 Sep 23</c:v>
                  </c:pt>
                </c:lvl>
                <c:lvl>
                  <c:pt idx="0">
                    <c:v>8 Sep 23</c:v>
                  </c:pt>
                </c:lvl>
                <c:lvl>
                  <c:pt idx="0">
                    <c:v>1 Sep 23</c:v>
                  </c:pt>
                </c:lvl>
                <c:lvl>
                  <c:pt idx="0">
                    <c:v>25 Aug 23</c:v>
                  </c:pt>
                </c:lvl>
                <c:lvl>
                  <c:pt idx="0">
                    <c:v>18 Aug 23</c:v>
                  </c:pt>
                </c:lvl>
                <c:lvl>
                  <c:pt idx="0">
                    <c:v>11 Aug 23</c:v>
                  </c:pt>
                </c:lvl>
                <c:lvl>
                  <c:pt idx="0">
                    <c:v>4 Aug 23</c:v>
                  </c:pt>
                </c:lvl>
                <c:lvl>
                  <c:pt idx="0">
                    <c:v>28 Jul 23</c:v>
                  </c:pt>
                </c:lvl>
                <c:lvl>
                  <c:pt idx="0">
                    <c:v>21 Jul 23</c:v>
                  </c:pt>
                </c:lvl>
                <c:lvl>
                  <c:pt idx="0">
                    <c:v>14 Jul 23</c:v>
                  </c:pt>
                </c:lvl>
                <c:lvl>
                  <c:pt idx="0">
                    <c:v>7 Jul 23</c:v>
                  </c:pt>
                </c:lvl>
                <c:lvl>
                  <c:pt idx="0">
                    <c:v>30 Jun 23</c:v>
                  </c:pt>
                </c:lvl>
              </c:multiLvlStrCache>
            </c:multiLvlStrRef>
          </c:cat>
          <c:val>
            <c:numRef>
              <c:f>'Budget vs Actual Weekly - List'!$E$49:$BF$49</c:f>
              <c:numCache>
                <c:formatCode>General</c:formatCode>
                <c:ptCount val="54"/>
                <c:pt idx="0">
                  <c:v>11</c:v>
                </c:pt>
                <c:pt idx="1">
                  <c:v>26</c:v>
                </c:pt>
                <c:pt idx="2">
                  <c:v>50</c:v>
                </c:pt>
                <c:pt idx="3">
                  <c:v>56</c:v>
                </c:pt>
                <c:pt idx="4">
                  <c:v>65</c:v>
                </c:pt>
              </c:numCache>
            </c:numRef>
          </c:val>
          <c:smooth val="0"/>
        </c:ser>
        <c:ser>
          <c:idx val="1"/>
          <c:order val="1"/>
          <c:tx>
            <c:strRef>
              <c:f>"Budgeted"</c:f>
              <c:strCache>
                <c:ptCount val="1"/>
                <c:pt idx="0">
                  <c:v>Budgeted</c:v>
                </c:pt>
              </c:strCache>
            </c:strRef>
          </c:tx>
          <c:spPr>
            <a:solidFill>
              <a:srgbClr val="ED7D31"/>
            </a:solidFill>
            <a:ln cap="rnd" w="28440">
              <a:solidFill>
                <a:schemeClr val="accent2"/>
              </a:solidFill>
              <a:round/>
            </a:ln>
          </c:spPr>
          <c:marker>
            <c:symbol val="diamond"/>
            <c:size val="6"/>
            <c:spPr>
              <a:solidFill>
                <a:srgbClr val="ED7D31"/>
              </a:solidFill>
            </c:spPr>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multiLvlStrRef>
              <c:f>'Budget vs Actual Weekly - List'!$E$5:$BF$5</c:f>
              <c:multiLvlStrCache>
                <c:ptCount val="1"/>
                <c:lvl>
                  <c:pt idx="0">
                    <c:v>5 Jul 24</c:v>
                  </c:pt>
                </c:lvl>
                <c:lvl>
                  <c:pt idx="0">
                    <c:v>28 Jun 24</c:v>
                  </c:pt>
                </c:lvl>
                <c:lvl>
                  <c:pt idx="0">
                    <c:v>21 Jun 24</c:v>
                  </c:pt>
                </c:lvl>
                <c:lvl>
                  <c:pt idx="0">
                    <c:v>14 Jun 24</c:v>
                  </c:pt>
                </c:lvl>
                <c:lvl>
                  <c:pt idx="0">
                    <c:v>7 Jun 24</c:v>
                  </c:pt>
                </c:lvl>
                <c:lvl>
                  <c:pt idx="0">
                    <c:v>31 May 24</c:v>
                  </c:pt>
                </c:lvl>
                <c:lvl>
                  <c:pt idx="0">
                    <c:v>24 May 24</c:v>
                  </c:pt>
                </c:lvl>
                <c:lvl>
                  <c:pt idx="0">
                    <c:v>17 May 24</c:v>
                  </c:pt>
                </c:lvl>
                <c:lvl>
                  <c:pt idx="0">
                    <c:v>10 May 24</c:v>
                  </c:pt>
                </c:lvl>
                <c:lvl>
                  <c:pt idx="0">
                    <c:v>3 May 24</c:v>
                  </c:pt>
                </c:lvl>
                <c:lvl>
                  <c:pt idx="0">
                    <c:v>26 Apr 24</c:v>
                  </c:pt>
                </c:lvl>
                <c:lvl>
                  <c:pt idx="0">
                    <c:v>19 Apr 24</c:v>
                  </c:pt>
                </c:lvl>
                <c:lvl>
                  <c:pt idx="0">
                    <c:v>12 Apr 24</c:v>
                  </c:pt>
                </c:lvl>
                <c:lvl>
                  <c:pt idx="0">
                    <c:v>5 Apr 24</c:v>
                  </c:pt>
                </c:lvl>
                <c:lvl>
                  <c:pt idx="0">
                    <c:v>29 Mar 24</c:v>
                  </c:pt>
                </c:lvl>
                <c:lvl>
                  <c:pt idx="0">
                    <c:v>22 Mar 24</c:v>
                  </c:pt>
                </c:lvl>
                <c:lvl>
                  <c:pt idx="0">
                    <c:v>15 Mar 24</c:v>
                  </c:pt>
                </c:lvl>
                <c:lvl>
                  <c:pt idx="0">
                    <c:v>8 Mar 24</c:v>
                  </c:pt>
                </c:lvl>
                <c:lvl>
                  <c:pt idx="0">
                    <c:v>1 Mar 24</c:v>
                  </c:pt>
                </c:lvl>
                <c:lvl>
                  <c:pt idx="0">
                    <c:v>23 Feb 24</c:v>
                  </c:pt>
                </c:lvl>
                <c:lvl>
                  <c:pt idx="0">
                    <c:v>16 Feb 24</c:v>
                  </c:pt>
                </c:lvl>
                <c:lvl>
                  <c:pt idx="0">
                    <c:v>9 Feb 24</c:v>
                  </c:pt>
                </c:lvl>
                <c:lvl>
                  <c:pt idx="0">
                    <c:v>2 Feb 24</c:v>
                  </c:pt>
                </c:lvl>
                <c:lvl>
                  <c:pt idx="0">
                    <c:v>26 Jan 24</c:v>
                  </c:pt>
                </c:lvl>
                <c:lvl>
                  <c:pt idx="0">
                    <c:v>19 Jan 24</c:v>
                  </c:pt>
                </c:lvl>
                <c:lvl>
                  <c:pt idx="0">
                    <c:v>12 Jan 24</c:v>
                  </c:pt>
                </c:lvl>
                <c:lvl>
                  <c:pt idx="0">
                    <c:v>5 Jan 24</c:v>
                  </c:pt>
                </c:lvl>
                <c:lvl>
                  <c:pt idx="0">
                    <c:v>29 Dec 23</c:v>
                  </c:pt>
                </c:lvl>
                <c:lvl>
                  <c:pt idx="0">
                    <c:v>22 Dec 23</c:v>
                  </c:pt>
                </c:lvl>
                <c:lvl>
                  <c:pt idx="0">
                    <c:v>15 Dec 23</c:v>
                  </c:pt>
                </c:lvl>
                <c:lvl>
                  <c:pt idx="0">
                    <c:v>8 Dec 23</c:v>
                  </c:pt>
                </c:lvl>
                <c:lvl>
                  <c:pt idx="0">
                    <c:v>1 Dec 23</c:v>
                  </c:pt>
                </c:lvl>
                <c:lvl>
                  <c:pt idx="0">
                    <c:v>24 Nov 23</c:v>
                  </c:pt>
                </c:lvl>
                <c:lvl>
                  <c:pt idx="0">
                    <c:v>17 Nov 23</c:v>
                  </c:pt>
                </c:lvl>
                <c:lvl>
                  <c:pt idx="0">
                    <c:v>10 Nov 23</c:v>
                  </c:pt>
                </c:lvl>
                <c:lvl>
                  <c:pt idx="0">
                    <c:v>3 Nov 23</c:v>
                  </c:pt>
                </c:lvl>
                <c:lvl>
                  <c:pt idx="0">
                    <c:v>27 Oct 23</c:v>
                  </c:pt>
                </c:lvl>
                <c:lvl>
                  <c:pt idx="0">
                    <c:v>20 Oct 23</c:v>
                  </c:pt>
                </c:lvl>
                <c:lvl>
                  <c:pt idx="0">
                    <c:v>13 Oct 23</c:v>
                  </c:pt>
                </c:lvl>
                <c:lvl>
                  <c:pt idx="0">
                    <c:v>6 Oct 23</c:v>
                  </c:pt>
                </c:lvl>
                <c:lvl>
                  <c:pt idx="0">
                    <c:v>29 Sep 23</c:v>
                  </c:pt>
                </c:lvl>
                <c:lvl>
                  <c:pt idx="0">
                    <c:v>22 Sep 23</c:v>
                  </c:pt>
                </c:lvl>
                <c:lvl>
                  <c:pt idx="0">
                    <c:v>15 Sep 23</c:v>
                  </c:pt>
                </c:lvl>
                <c:lvl>
                  <c:pt idx="0">
                    <c:v>8 Sep 23</c:v>
                  </c:pt>
                </c:lvl>
                <c:lvl>
                  <c:pt idx="0">
                    <c:v>1 Sep 23</c:v>
                  </c:pt>
                </c:lvl>
                <c:lvl>
                  <c:pt idx="0">
                    <c:v>25 Aug 23</c:v>
                  </c:pt>
                </c:lvl>
                <c:lvl>
                  <c:pt idx="0">
                    <c:v>18 Aug 23</c:v>
                  </c:pt>
                </c:lvl>
                <c:lvl>
                  <c:pt idx="0">
                    <c:v>11 Aug 23</c:v>
                  </c:pt>
                </c:lvl>
                <c:lvl>
                  <c:pt idx="0">
                    <c:v>4 Aug 23</c:v>
                  </c:pt>
                </c:lvl>
                <c:lvl>
                  <c:pt idx="0">
                    <c:v>28 Jul 23</c:v>
                  </c:pt>
                </c:lvl>
                <c:lvl>
                  <c:pt idx="0">
                    <c:v>21 Jul 23</c:v>
                  </c:pt>
                </c:lvl>
                <c:lvl>
                  <c:pt idx="0">
                    <c:v>14 Jul 23</c:v>
                  </c:pt>
                </c:lvl>
                <c:lvl>
                  <c:pt idx="0">
                    <c:v>7 Jul 23</c:v>
                  </c:pt>
                </c:lvl>
                <c:lvl>
                  <c:pt idx="0">
                    <c:v>30 Jun 23</c:v>
                  </c:pt>
                </c:lvl>
              </c:multiLvlStrCache>
            </c:multiLvlStrRef>
          </c:cat>
          <c:val>
            <c:numRef>
              <c:f>'Budget vs Actual Weekly - List'!$E$47:$BF$47</c:f>
              <c:numCache>
                <c:formatCode>General</c:formatCode>
                <c:ptCount val="54"/>
                <c:pt idx="0">
                  <c:v>11</c:v>
                </c:pt>
                <c:pt idx="1">
                  <c:v>19</c:v>
                </c:pt>
                <c:pt idx="2">
                  <c:v>39</c:v>
                </c:pt>
                <c:pt idx="3">
                  <c:v>43</c:v>
                </c:pt>
                <c:pt idx="4">
                  <c:v>53</c:v>
                </c:pt>
              </c:numCache>
            </c:numRef>
          </c:val>
          <c:smooth val="0"/>
        </c:ser>
        <c:hiLowLines>
          <c:spPr>
            <a:ln w="0">
              <a:noFill/>
            </a:ln>
          </c:spPr>
        </c:hiLowLines>
        <c:marker val="1"/>
        <c:axId val="59906873"/>
        <c:axId val="24288913"/>
      </c:lineChart>
      <c:dateAx>
        <c:axId val="59906873"/>
        <c:scaling>
          <c:orientation val="minMax"/>
        </c:scaling>
        <c:delete val="0"/>
        <c:axPos val="b"/>
        <c:numFmt formatCode="d\ mmm\ yy" sourceLinked="0"/>
        <c:majorTickMark val="out"/>
        <c:minorTickMark val="none"/>
        <c:tickLblPos val="nextTo"/>
        <c:spPr>
          <a:ln w="9360">
            <a:solidFill>
              <a:schemeClr val="dk1">
                <a:lumMod val="15000"/>
                <a:lumOff val="85000"/>
              </a:schemeClr>
            </a:solidFill>
            <a:round/>
          </a:ln>
        </c:spPr>
        <c:txPr>
          <a:bodyPr rot="-5400000"/>
          <a:lstStyle/>
          <a:p>
            <a:pPr>
              <a:defRPr sz="900" b="0" u="none" strike="noStrike">
                <a:solidFill>
                  <a:schemeClr val="tx1">
                    <a:lumMod val="65000"/>
                    <a:lumOff val="35000"/>
                  </a:schemeClr>
                </a:solidFill>
                <a:uFillTx/>
                <a:latin typeface="Calibri"/>
              </a:defRPr>
            </a:pPr>
          </a:p>
        </c:txPr>
        <c:crossAx val="24288913"/>
        <c:crosses val="autoZero"/>
        <c:auto val="1"/>
        <c:lblOffset val="100"/>
        <c:baseTimeUnit val="days"/>
        <c:majorUnit val="7"/>
        <c:majorTimeUnit val="days"/>
        <c:minorUnit val="7"/>
        <c:minorTimeUnit val="days"/>
      </c:dateAx>
      <c:valAx>
        <c:axId val="24288913"/>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59906873"/>
        <c:crosses val="autoZero"/>
        <c:crossBetween val="between"/>
      </c:valAx>
      <c:spPr>
        <a:no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p>
      </c:txPr>
    </c:legend>
    <c:plotVisOnly val="0"/>
    <c:dispBlanksAs val="zero"/>
  </c:chart>
  <c:spPr>
    <a:solidFill>
      <a:srgbClr val="FFFFFF"/>
    </a:solidFill>
    <a:ln w="28440">
      <a:solidFill>
        <a:schemeClr val="dk2"/>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lang="en-AU" sz="1400" b="0" u="none" strike="noStrike">
                <a:solidFill>
                  <a:schemeClr val="tx1">
                    <a:lumMod val="65000"/>
                    <a:lumOff val="35000"/>
                  </a:schemeClr>
                </a:solidFill>
                <a:uFillTx/>
                <a:latin typeface="Calibri"/>
              </a:rPr>
              <a:t>Project Budget versus Actual Cost - Weekly</a:t>
            </a:r>
          </a:p>
        </c:rich>
      </c:tx>
      <c:overlay val="0"/>
      <c:spPr>
        <a:noFill/>
        <a:ln w="0">
          <a:noFill/>
        </a:ln>
      </c:spPr>
    </c:title>
    <c:autoTitleDeleted val="0"/>
    <c:plotArea>
      <c:lineChart>
        <c:grouping val="standard"/>
        <c:varyColors val="0"/>
        <c:ser>
          <c:idx val="0"/>
          <c:order val="0"/>
          <c:tx>
            <c:strRef>
              <c:f>"Actual Cost"</c:f>
              <c:strCache>
                <c:ptCount val="1"/>
                <c:pt idx="0">
                  <c:v>Actual Cost</c:v>
                </c:pt>
              </c:strCache>
            </c:strRef>
          </c:tx>
          <c:spPr>
            <a:solidFill>
              <a:srgbClr val="70AD47"/>
            </a:solidFill>
            <a:ln cap="rnd" w="28440">
              <a:solidFill>
                <a:schemeClr val="accent6"/>
              </a:solidFill>
              <a:round/>
            </a:ln>
          </c:spPr>
          <c:marker>
            <c:symbol val="diamond"/>
            <c:size val="6"/>
            <c:spPr>
              <a:solidFill>
                <a:srgbClr val="70AD47"/>
              </a:solidFill>
            </c:spPr>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multiLvlStrRef>
              <c:f>'Budget vs Actual Weekly - List'!$E$5:$BF$5</c:f>
              <c:multiLvlStrCache>
                <c:ptCount val="1"/>
                <c:lvl>
                  <c:pt idx="0">
                    <c:v>5 Jul 24</c:v>
                  </c:pt>
                </c:lvl>
                <c:lvl>
                  <c:pt idx="0">
                    <c:v>28 Jun 24</c:v>
                  </c:pt>
                </c:lvl>
                <c:lvl>
                  <c:pt idx="0">
                    <c:v>21 Jun 24</c:v>
                  </c:pt>
                </c:lvl>
                <c:lvl>
                  <c:pt idx="0">
                    <c:v>14 Jun 24</c:v>
                  </c:pt>
                </c:lvl>
                <c:lvl>
                  <c:pt idx="0">
                    <c:v>7 Jun 24</c:v>
                  </c:pt>
                </c:lvl>
                <c:lvl>
                  <c:pt idx="0">
                    <c:v>31 May 24</c:v>
                  </c:pt>
                </c:lvl>
                <c:lvl>
                  <c:pt idx="0">
                    <c:v>24 May 24</c:v>
                  </c:pt>
                </c:lvl>
                <c:lvl>
                  <c:pt idx="0">
                    <c:v>17 May 24</c:v>
                  </c:pt>
                </c:lvl>
                <c:lvl>
                  <c:pt idx="0">
                    <c:v>10 May 24</c:v>
                  </c:pt>
                </c:lvl>
                <c:lvl>
                  <c:pt idx="0">
                    <c:v>3 May 24</c:v>
                  </c:pt>
                </c:lvl>
                <c:lvl>
                  <c:pt idx="0">
                    <c:v>26 Apr 24</c:v>
                  </c:pt>
                </c:lvl>
                <c:lvl>
                  <c:pt idx="0">
                    <c:v>19 Apr 24</c:v>
                  </c:pt>
                </c:lvl>
                <c:lvl>
                  <c:pt idx="0">
                    <c:v>12 Apr 24</c:v>
                  </c:pt>
                </c:lvl>
                <c:lvl>
                  <c:pt idx="0">
                    <c:v>5 Apr 24</c:v>
                  </c:pt>
                </c:lvl>
                <c:lvl>
                  <c:pt idx="0">
                    <c:v>29 Mar 24</c:v>
                  </c:pt>
                </c:lvl>
                <c:lvl>
                  <c:pt idx="0">
                    <c:v>22 Mar 24</c:v>
                  </c:pt>
                </c:lvl>
                <c:lvl>
                  <c:pt idx="0">
                    <c:v>15 Mar 24</c:v>
                  </c:pt>
                </c:lvl>
                <c:lvl>
                  <c:pt idx="0">
                    <c:v>8 Mar 24</c:v>
                  </c:pt>
                </c:lvl>
                <c:lvl>
                  <c:pt idx="0">
                    <c:v>1 Mar 24</c:v>
                  </c:pt>
                </c:lvl>
                <c:lvl>
                  <c:pt idx="0">
                    <c:v>23 Feb 24</c:v>
                  </c:pt>
                </c:lvl>
                <c:lvl>
                  <c:pt idx="0">
                    <c:v>16 Feb 24</c:v>
                  </c:pt>
                </c:lvl>
                <c:lvl>
                  <c:pt idx="0">
                    <c:v>9 Feb 24</c:v>
                  </c:pt>
                </c:lvl>
                <c:lvl>
                  <c:pt idx="0">
                    <c:v>2 Feb 24</c:v>
                  </c:pt>
                </c:lvl>
                <c:lvl>
                  <c:pt idx="0">
                    <c:v>26 Jan 24</c:v>
                  </c:pt>
                </c:lvl>
                <c:lvl>
                  <c:pt idx="0">
                    <c:v>19 Jan 24</c:v>
                  </c:pt>
                </c:lvl>
                <c:lvl>
                  <c:pt idx="0">
                    <c:v>12 Jan 24</c:v>
                  </c:pt>
                </c:lvl>
                <c:lvl>
                  <c:pt idx="0">
                    <c:v>5 Jan 24</c:v>
                  </c:pt>
                </c:lvl>
                <c:lvl>
                  <c:pt idx="0">
                    <c:v>29 Dec 23</c:v>
                  </c:pt>
                </c:lvl>
                <c:lvl>
                  <c:pt idx="0">
                    <c:v>22 Dec 23</c:v>
                  </c:pt>
                </c:lvl>
                <c:lvl>
                  <c:pt idx="0">
                    <c:v>15 Dec 23</c:v>
                  </c:pt>
                </c:lvl>
                <c:lvl>
                  <c:pt idx="0">
                    <c:v>8 Dec 23</c:v>
                  </c:pt>
                </c:lvl>
                <c:lvl>
                  <c:pt idx="0">
                    <c:v>1 Dec 23</c:v>
                  </c:pt>
                </c:lvl>
                <c:lvl>
                  <c:pt idx="0">
                    <c:v>24 Nov 23</c:v>
                  </c:pt>
                </c:lvl>
                <c:lvl>
                  <c:pt idx="0">
                    <c:v>17 Nov 23</c:v>
                  </c:pt>
                </c:lvl>
                <c:lvl>
                  <c:pt idx="0">
                    <c:v>10 Nov 23</c:v>
                  </c:pt>
                </c:lvl>
                <c:lvl>
                  <c:pt idx="0">
                    <c:v>3 Nov 23</c:v>
                  </c:pt>
                </c:lvl>
                <c:lvl>
                  <c:pt idx="0">
                    <c:v>27 Oct 23</c:v>
                  </c:pt>
                </c:lvl>
                <c:lvl>
                  <c:pt idx="0">
                    <c:v>20 Oct 23</c:v>
                  </c:pt>
                </c:lvl>
                <c:lvl>
                  <c:pt idx="0">
                    <c:v>13 Oct 23</c:v>
                  </c:pt>
                </c:lvl>
                <c:lvl>
                  <c:pt idx="0">
                    <c:v>6 Oct 23</c:v>
                  </c:pt>
                </c:lvl>
                <c:lvl>
                  <c:pt idx="0">
                    <c:v>29 Sep 23</c:v>
                  </c:pt>
                </c:lvl>
                <c:lvl>
                  <c:pt idx="0">
                    <c:v>22 Sep 23</c:v>
                  </c:pt>
                </c:lvl>
                <c:lvl>
                  <c:pt idx="0">
                    <c:v>15 Sep 23</c:v>
                  </c:pt>
                </c:lvl>
                <c:lvl>
                  <c:pt idx="0">
                    <c:v>8 Sep 23</c:v>
                  </c:pt>
                </c:lvl>
                <c:lvl>
                  <c:pt idx="0">
                    <c:v>1 Sep 23</c:v>
                  </c:pt>
                </c:lvl>
                <c:lvl>
                  <c:pt idx="0">
                    <c:v>25 Aug 23</c:v>
                  </c:pt>
                </c:lvl>
                <c:lvl>
                  <c:pt idx="0">
                    <c:v>18 Aug 23</c:v>
                  </c:pt>
                </c:lvl>
                <c:lvl>
                  <c:pt idx="0">
                    <c:v>11 Aug 23</c:v>
                  </c:pt>
                </c:lvl>
                <c:lvl>
                  <c:pt idx="0">
                    <c:v>4 Aug 23</c:v>
                  </c:pt>
                </c:lvl>
                <c:lvl>
                  <c:pt idx="0">
                    <c:v>28 Jul 23</c:v>
                  </c:pt>
                </c:lvl>
                <c:lvl>
                  <c:pt idx="0">
                    <c:v>21 Jul 23</c:v>
                  </c:pt>
                </c:lvl>
                <c:lvl>
                  <c:pt idx="0">
                    <c:v>14 Jul 23</c:v>
                  </c:pt>
                </c:lvl>
                <c:lvl>
                  <c:pt idx="0">
                    <c:v>7 Jul 23</c:v>
                  </c:pt>
                </c:lvl>
                <c:lvl>
                  <c:pt idx="0">
                    <c:v>30 Jun 23</c:v>
                  </c:pt>
                </c:lvl>
              </c:multiLvlStrCache>
            </c:multiLvlStrRef>
          </c:cat>
          <c:val>
            <c:numRef>
              <c:f>'Budget vs Actual Weekly - List'!$E$49:$BF$49</c:f>
              <c:numCache>
                <c:formatCode>General</c:formatCode>
                <c:ptCount val="54"/>
                <c:pt idx="0">
                  <c:v>11</c:v>
                </c:pt>
                <c:pt idx="1">
                  <c:v>26</c:v>
                </c:pt>
                <c:pt idx="2">
                  <c:v>50</c:v>
                </c:pt>
                <c:pt idx="3">
                  <c:v>56</c:v>
                </c:pt>
                <c:pt idx="4">
                  <c:v>65</c:v>
                </c:pt>
              </c:numCache>
            </c:numRef>
          </c:val>
          <c:smooth val="0"/>
        </c:ser>
        <c:ser>
          <c:idx val="1"/>
          <c:order val="1"/>
          <c:tx>
            <c:strRef>
              <c:f>"Budgeted"</c:f>
              <c:strCache>
                <c:ptCount val="1"/>
                <c:pt idx="0">
                  <c:v>Budgeted</c:v>
                </c:pt>
              </c:strCache>
            </c:strRef>
          </c:tx>
          <c:spPr>
            <a:solidFill>
              <a:srgbClr val="ED7D31"/>
            </a:solidFill>
            <a:ln cap="rnd" w="28440">
              <a:solidFill>
                <a:schemeClr val="accent2"/>
              </a:solidFill>
              <a:round/>
            </a:ln>
          </c:spPr>
          <c:marker>
            <c:symbol val="diamond"/>
            <c:size val="6"/>
            <c:spPr>
              <a:solidFill>
                <a:srgbClr val="ED7D31"/>
              </a:solidFill>
            </c:spPr>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multiLvlStrRef>
              <c:f>'Budget vs Actual Weekly - List'!$E$5:$BF$5</c:f>
              <c:multiLvlStrCache>
                <c:ptCount val="1"/>
                <c:lvl>
                  <c:pt idx="0">
                    <c:v>5 Jul 24</c:v>
                  </c:pt>
                </c:lvl>
                <c:lvl>
                  <c:pt idx="0">
                    <c:v>28 Jun 24</c:v>
                  </c:pt>
                </c:lvl>
                <c:lvl>
                  <c:pt idx="0">
                    <c:v>21 Jun 24</c:v>
                  </c:pt>
                </c:lvl>
                <c:lvl>
                  <c:pt idx="0">
                    <c:v>14 Jun 24</c:v>
                  </c:pt>
                </c:lvl>
                <c:lvl>
                  <c:pt idx="0">
                    <c:v>7 Jun 24</c:v>
                  </c:pt>
                </c:lvl>
                <c:lvl>
                  <c:pt idx="0">
                    <c:v>31 May 24</c:v>
                  </c:pt>
                </c:lvl>
                <c:lvl>
                  <c:pt idx="0">
                    <c:v>24 May 24</c:v>
                  </c:pt>
                </c:lvl>
                <c:lvl>
                  <c:pt idx="0">
                    <c:v>17 May 24</c:v>
                  </c:pt>
                </c:lvl>
                <c:lvl>
                  <c:pt idx="0">
                    <c:v>10 May 24</c:v>
                  </c:pt>
                </c:lvl>
                <c:lvl>
                  <c:pt idx="0">
                    <c:v>3 May 24</c:v>
                  </c:pt>
                </c:lvl>
                <c:lvl>
                  <c:pt idx="0">
                    <c:v>26 Apr 24</c:v>
                  </c:pt>
                </c:lvl>
                <c:lvl>
                  <c:pt idx="0">
                    <c:v>19 Apr 24</c:v>
                  </c:pt>
                </c:lvl>
                <c:lvl>
                  <c:pt idx="0">
                    <c:v>12 Apr 24</c:v>
                  </c:pt>
                </c:lvl>
                <c:lvl>
                  <c:pt idx="0">
                    <c:v>5 Apr 24</c:v>
                  </c:pt>
                </c:lvl>
                <c:lvl>
                  <c:pt idx="0">
                    <c:v>29 Mar 24</c:v>
                  </c:pt>
                </c:lvl>
                <c:lvl>
                  <c:pt idx="0">
                    <c:v>22 Mar 24</c:v>
                  </c:pt>
                </c:lvl>
                <c:lvl>
                  <c:pt idx="0">
                    <c:v>15 Mar 24</c:v>
                  </c:pt>
                </c:lvl>
                <c:lvl>
                  <c:pt idx="0">
                    <c:v>8 Mar 24</c:v>
                  </c:pt>
                </c:lvl>
                <c:lvl>
                  <c:pt idx="0">
                    <c:v>1 Mar 24</c:v>
                  </c:pt>
                </c:lvl>
                <c:lvl>
                  <c:pt idx="0">
                    <c:v>23 Feb 24</c:v>
                  </c:pt>
                </c:lvl>
                <c:lvl>
                  <c:pt idx="0">
                    <c:v>16 Feb 24</c:v>
                  </c:pt>
                </c:lvl>
                <c:lvl>
                  <c:pt idx="0">
                    <c:v>9 Feb 24</c:v>
                  </c:pt>
                </c:lvl>
                <c:lvl>
                  <c:pt idx="0">
                    <c:v>2 Feb 24</c:v>
                  </c:pt>
                </c:lvl>
                <c:lvl>
                  <c:pt idx="0">
                    <c:v>26 Jan 24</c:v>
                  </c:pt>
                </c:lvl>
                <c:lvl>
                  <c:pt idx="0">
                    <c:v>19 Jan 24</c:v>
                  </c:pt>
                </c:lvl>
                <c:lvl>
                  <c:pt idx="0">
                    <c:v>12 Jan 24</c:v>
                  </c:pt>
                </c:lvl>
                <c:lvl>
                  <c:pt idx="0">
                    <c:v>5 Jan 24</c:v>
                  </c:pt>
                </c:lvl>
                <c:lvl>
                  <c:pt idx="0">
                    <c:v>29 Dec 23</c:v>
                  </c:pt>
                </c:lvl>
                <c:lvl>
                  <c:pt idx="0">
                    <c:v>22 Dec 23</c:v>
                  </c:pt>
                </c:lvl>
                <c:lvl>
                  <c:pt idx="0">
                    <c:v>15 Dec 23</c:v>
                  </c:pt>
                </c:lvl>
                <c:lvl>
                  <c:pt idx="0">
                    <c:v>8 Dec 23</c:v>
                  </c:pt>
                </c:lvl>
                <c:lvl>
                  <c:pt idx="0">
                    <c:v>1 Dec 23</c:v>
                  </c:pt>
                </c:lvl>
                <c:lvl>
                  <c:pt idx="0">
                    <c:v>24 Nov 23</c:v>
                  </c:pt>
                </c:lvl>
                <c:lvl>
                  <c:pt idx="0">
                    <c:v>17 Nov 23</c:v>
                  </c:pt>
                </c:lvl>
                <c:lvl>
                  <c:pt idx="0">
                    <c:v>10 Nov 23</c:v>
                  </c:pt>
                </c:lvl>
                <c:lvl>
                  <c:pt idx="0">
                    <c:v>3 Nov 23</c:v>
                  </c:pt>
                </c:lvl>
                <c:lvl>
                  <c:pt idx="0">
                    <c:v>27 Oct 23</c:v>
                  </c:pt>
                </c:lvl>
                <c:lvl>
                  <c:pt idx="0">
                    <c:v>20 Oct 23</c:v>
                  </c:pt>
                </c:lvl>
                <c:lvl>
                  <c:pt idx="0">
                    <c:v>13 Oct 23</c:v>
                  </c:pt>
                </c:lvl>
                <c:lvl>
                  <c:pt idx="0">
                    <c:v>6 Oct 23</c:v>
                  </c:pt>
                </c:lvl>
                <c:lvl>
                  <c:pt idx="0">
                    <c:v>29 Sep 23</c:v>
                  </c:pt>
                </c:lvl>
                <c:lvl>
                  <c:pt idx="0">
                    <c:v>22 Sep 23</c:v>
                  </c:pt>
                </c:lvl>
                <c:lvl>
                  <c:pt idx="0">
                    <c:v>15 Sep 23</c:v>
                  </c:pt>
                </c:lvl>
                <c:lvl>
                  <c:pt idx="0">
                    <c:v>8 Sep 23</c:v>
                  </c:pt>
                </c:lvl>
                <c:lvl>
                  <c:pt idx="0">
                    <c:v>1 Sep 23</c:v>
                  </c:pt>
                </c:lvl>
                <c:lvl>
                  <c:pt idx="0">
                    <c:v>25 Aug 23</c:v>
                  </c:pt>
                </c:lvl>
                <c:lvl>
                  <c:pt idx="0">
                    <c:v>18 Aug 23</c:v>
                  </c:pt>
                </c:lvl>
                <c:lvl>
                  <c:pt idx="0">
                    <c:v>11 Aug 23</c:v>
                  </c:pt>
                </c:lvl>
                <c:lvl>
                  <c:pt idx="0">
                    <c:v>4 Aug 23</c:v>
                  </c:pt>
                </c:lvl>
                <c:lvl>
                  <c:pt idx="0">
                    <c:v>28 Jul 23</c:v>
                  </c:pt>
                </c:lvl>
                <c:lvl>
                  <c:pt idx="0">
                    <c:v>21 Jul 23</c:v>
                  </c:pt>
                </c:lvl>
                <c:lvl>
                  <c:pt idx="0">
                    <c:v>14 Jul 23</c:v>
                  </c:pt>
                </c:lvl>
                <c:lvl>
                  <c:pt idx="0">
                    <c:v>7 Jul 23</c:v>
                  </c:pt>
                </c:lvl>
                <c:lvl>
                  <c:pt idx="0">
                    <c:v>30 Jun 23</c:v>
                  </c:pt>
                </c:lvl>
              </c:multiLvlStrCache>
            </c:multiLvlStrRef>
          </c:cat>
          <c:val>
            <c:numRef>
              <c:f>'Budget vs Actual Weekly - List'!$E$47:$BF$47</c:f>
              <c:numCache>
                <c:formatCode>General</c:formatCode>
                <c:ptCount val="54"/>
                <c:pt idx="0">
                  <c:v>11</c:v>
                </c:pt>
                <c:pt idx="1">
                  <c:v>19</c:v>
                </c:pt>
                <c:pt idx="2">
                  <c:v>39</c:v>
                </c:pt>
                <c:pt idx="3">
                  <c:v>43</c:v>
                </c:pt>
                <c:pt idx="4">
                  <c:v>53</c:v>
                </c:pt>
              </c:numCache>
            </c:numRef>
          </c:val>
          <c:smooth val="0"/>
        </c:ser>
        <c:hiLowLines>
          <c:spPr>
            <a:ln w="0">
              <a:noFill/>
            </a:ln>
          </c:spPr>
        </c:hiLowLines>
        <c:marker val="1"/>
        <c:axId val="12326012"/>
        <c:axId val="1131002"/>
      </c:lineChart>
      <c:dateAx>
        <c:axId val="12326012"/>
        <c:scaling>
          <c:orientation val="minMax"/>
        </c:scaling>
        <c:delete val="0"/>
        <c:axPos val="b"/>
        <c:numFmt formatCode="d\ mmm\ yy" sourceLinked="0"/>
        <c:majorTickMark val="out"/>
        <c:minorTickMark val="none"/>
        <c:tickLblPos val="nextTo"/>
        <c:spPr>
          <a:ln w="9360">
            <a:solidFill>
              <a:schemeClr val="dk1">
                <a:lumMod val="15000"/>
                <a:lumOff val="85000"/>
              </a:schemeClr>
            </a:solidFill>
            <a:round/>
          </a:ln>
        </c:spPr>
        <c:txPr>
          <a:bodyPr rot="-5400000"/>
          <a:lstStyle/>
          <a:p>
            <a:pPr>
              <a:defRPr sz="900" b="0" u="none" strike="noStrike">
                <a:solidFill>
                  <a:schemeClr val="tx1">
                    <a:lumMod val="65000"/>
                    <a:lumOff val="35000"/>
                  </a:schemeClr>
                </a:solidFill>
                <a:uFillTx/>
                <a:latin typeface="Calibri"/>
              </a:defRPr>
            </a:pPr>
          </a:p>
        </c:txPr>
        <c:crossAx val="1131002"/>
        <c:crosses val="autoZero"/>
        <c:auto val="1"/>
        <c:lblOffset val="100"/>
        <c:baseTimeUnit val="days"/>
        <c:majorUnit val="7"/>
        <c:majorTimeUnit val="days"/>
        <c:minorUnit val="7"/>
        <c:minorTimeUnit val="days"/>
      </c:dateAx>
      <c:valAx>
        <c:axId val="1131002"/>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12326012"/>
        <c:crosses val="autoZero"/>
        <c:crossBetween val="between"/>
      </c:valAx>
      <c:spPr>
        <a:no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p>
      </c:txPr>
    </c:legend>
    <c:plotVisOnly val="0"/>
    <c:dispBlanksAs val="zero"/>
  </c:chart>
  <c:spPr>
    <a:solidFill>
      <a:srgbClr val="FFFFFF"/>
    </a:solidFill>
    <a:ln w="28440">
      <a:solidFill>
        <a:schemeClr val="dk2"/>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236160</xdr:colOff>
      <xdr:row>50</xdr:row>
      <xdr:rowOff>99000</xdr:rowOff>
    </xdr:from>
    <xdr:to>
      <xdr:col>14</xdr:col>
      <xdr:colOff>45360</xdr:colOff>
      <xdr:row>72</xdr:row>
      <xdr:rowOff>87480</xdr:rowOff>
    </xdr:to>
    <xdr:graphicFrame>
      <xdr:nvGraphicFramePr>
        <xdr:cNvPr id="1" name="Chart 2"/>
        <xdr:cNvGraphicFramePr/>
      </xdr:nvGraphicFramePr>
      <xdr:xfrm>
        <a:off x="4010040" y="12199680"/>
        <a:ext cx="7981560" cy="3844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335160</xdr:colOff>
      <xdr:row>1</xdr:row>
      <xdr:rowOff>114480</xdr:rowOff>
    </xdr:from>
    <xdr:to>
      <xdr:col>11</xdr:col>
      <xdr:colOff>235800</xdr:colOff>
      <xdr:row>24</xdr:row>
      <xdr:rowOff>106560</xdr:rowOff>
    </xdr:to>
    <xdr:graphicFrame>
      <xdr:nvGraphicFramePr>
        <xdr:cNvPr id="2" name="Chart 1"/>
        <xdr:cNvGraphicFramePr/>
      </xdr:nvGraphicFramePr>
      <xdr:xfrm>
        <a:off x="335160" y="295560"/>
        <a:ext cx="6627240" cy="4154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219240</xdr:colOff>
      <xdr:row>50</xdr:row>
      <xdr:rowOff>60840</xdr:rowOff>
    </xdr:from>
    <xdr:to>
      <xdr:col>15</xdr:col>
      <xdr:colOff>37800</xdr:colOff>
      <xdr:row>72</xdr:row>
      <xdr:rowOff>51480</xdr:rowOff>
    </xdr:to>
    <xdr:graphicFrame>
      <xdr:nvGraphicFramePr>
        <xdr:cNvPr id="3" name="Chart 1"/>
        <xdr:cNvGraphicFramePr/>
      </xdr:nvGraphicFramePr>
      <xdr:xfrm>
        <a:off x="3084840" y="12161520"/>
        <a:ext cx="9807120" cy="3846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224640</xdr:colOff>
      <xdr:row>0</xdr:row>
      <xdr:rowOff>163800</xdr:rowOff>
    </xdr:from>
    <xdr:to>
      <xdr:col>13</xdr:col>
      <xdr:colOff>353880</xdr:colOff>
      <xdr:row>22</xdr:row>
      <xdr:rowOff>33120</xdr:rowOff>
    </xdr:to>
    <xdr:graphicFrame>
      <xdr:nvGraphicFramePr>
        <xdr:cNvPr id="4" name="Chart 2"/>
        <xdr:cNvGraphicFramePr/>
      </xdr:nvGraphicFramePr>
      <xdr:xfrm>
        <a:off x="224640" y="163800"/>
        <a:ext cx="8078760" cy="3850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T75"/>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pane xSplit="4" ySplit="5" topLeftCell="E46" activePane="bottomRight" state="frozen"/>
      <selection pane="topLeft" activeCell="A1" activeCellId="0" sqref="A1"/>
      <selection pane="topRight" activeCell="E1" activeCellId="0" sqref="E1"/>
      <selection pane="bottomLeft" activeCell="A46" activeCellId="0" sqref="A46"/>
      <selection pane="bottomRight" activeCell="A1" activeCellId="0" sqref="A1"/>
    </sheetView>
  </sheetViews>
  <sheetFormatPr defaultColWidth="8.88671875" defaultRowHeight="13.5" customHeight="false" zeroHeight="false" outlineLevelRow="0" outlineLevelCol="0"/>
  <cols>
    <col collapsed="false" customWidth="true" hidden="false" outlineLevel="0" max="1" min="1" style="1" width="1.67"/>
    <col collapsed="false" customWidth="true" hidden="false" outlineLevel="0" max="2" min="2" style="1" width="4.88"/>
    <col collapsed="false" customWidth="true" hidden="false" outlineLevel="0" max="3" min="3" style="1" width="21.67"/>
    <col collapsed="false" customWidth="true" hidden="false" outlineLevel="0" max="4" min="4" style="1" width="12.44"/>
    <col collapsed="false" customWidth="true" hidden="false" outlineLevel="0" max="17" min="5" style="1" width="12.88"/>
    <col collapsed="false" customWidth="true" hidden="false" outlineLevel="0" max="18" min="18" style="1" width="14.21"/>
    <col collapsed="false" customWidth="true" hidden="false" outlineLevel="0" max="19" min="19" style="1" width="2"/>
    <col collapsed="false" customWidth="false" hidden="false" outlineLevel="0" max="16384" min="20" style="1" width="8.88"/>
  </cols>
  <sheetData>
    <row r="1" customFormat="false" ht="9" hidden="false" customHeight="true" outlineLevel="0" collapsed="false">
      <c r="B1" s="2"/>
      <c r="C1" s="2"/>
      <c r="D1" s="3"/>
      <c r="E1" s="3"/>
      <c r="F1" s="3"/>
      <c r="G1" s="3"/>
      <c r="H1" s="3"/>
      <c r="I1" s="3"/>
      <c r="J1" s="3"/>
      <c r="K1" s="3"/>
      <c r="L1" s="3"/>
      <c r="M1" s="3"/>
      <c r="N1" s="3"/>
      <c r="O1" s="3"/>
      <c r="P1" s="3"/>
      <c r="Q1" s="3"/>
      <c r="R1" s="3"/>
      <c r="S1" s="4"/>
    </row>
    <row r="2" customFormat="false" ht="24.75" hidden="false" customHeight="true" outlineLevel="0" collapsed="false">
      <c r="B2" s="5"/>
      <c r="C2" s="5"/>
      <c r="D2" s="6"/>
      <c r="E2" s="6"/>
      <c r="F2" s="6"/>
      <c r="G2" s="6"/>
      <c r="H2" s="6"/>
      <c r="I2" s="7" t="s">
        <v>0</v>
      </c>
      <c r="J2" s="7"/>
      <c r="K2" s="7"/>
      <c r="L2" s="6"/>
      <c r="M2" s="6"/>
      <c r="N2" s="6"/>
      <c r="O2" s="6"/>
      <c r="P2" s="6"/>
      <c r="Q2" s="6"/>
      <c r="R2" s="6"/>
      <c r="S2" s="4"/>
    </row>
    <row r="3" customFormat="false" ht="18.75" hidden="false" customHeight="true" outlineLevel="0" collapsed="false">
      <c r="B3" s="2"/>
      <c r="C3" s="8" t="s">
        <v>1</v>
      </c>
      <c r="D3" s="9" t="n">
        <v>45107</v>
      </c>
      <c r="E3" s="3"/>
      <c r="F3" s="10"/>
      <c r="G3" s="3"/>
      <c r="H3" s="3"/>
      <c r="I3" s="11" t="s">
        <v>2</v>
      </c>
      <c r="J3" s="11"/>
      <c r="K3" s="11"/>
      <c r="L3" s="3"/>
      <c r="M3" s="3"/>
      <c r="N3" s="8" t="s">
        <v>3</v>
      </c>
      <c r="O3" s="12"/>
      <c r="P3" s="12"/>
      <c r="Q3" s="12"/>
      <c r="R3" s="3"/>
      <c r="S3" s="4"/>
      <c r="T3" s="13" t="s">
        <v>4</v>
      </c>
    </row>
    <row r="4" customFormat="false" ht="9" hidden="false" customHeight="true" outlineLevel="0" collapsed="false">
      <c r="B4" s="2"/>
      <c r="C4" s="2"/>
      <c r="D4" s="2"/>
      <c r="E4" s="2"/>
      <c r="F4" s="2"/>
      <c r="G4" s="2"/>
      <c r="H4" s="2"/>
      <c r="I4" s="2"/>
      <c r="J4" s="2"/>
      <c r="K4" s="2"/>
      <c r="L4" s="2"/>
      <c r="M4" s="2"/>
      <c r="N4" s="2"/>
      <c r="O4" s="2"/>
      <c r="P4" s="2"/>
      <c r="Q4" s="2"/>
      <c r="R4" s="2"/>
    </row>
    <row r="5" customFormat="false" ht="19.5" hidden="false" customHeight="true" outlineLevel="0" collapsed="false">
      <c r="B5" s="14" t="s">
        <v>5</v>
      </c>
      <c r="C5" s="15" t="s">
        <v>6</v>
      </c>
      <c r="D5" s="15" t="s">
        <v>7</v>
      </c>
      <c r="E5" s="16" t="n">
        <f aca="false">D3</f>
        <v>45107</v>
      </c>
      <c r="F5" s="16" t="n">
        <f aca="false">EDATE(E5,1)</f>
        <v>45137</v>
      </c>
      <c r="G5" s="16" t="n">
        <f aca="false">EDATE(F5,1)</f>
        <v>45168</v>
      </c>
      <c r="H5" s="16" t="n">
        <f aca="false">EDATE(G5,1)</f>
        <v>45199</v>
      </c>
      <c r="I5" s="16" t="n">
        <f aca="false">EDATE(H5,1)</f>
        <v>45229</v>
      </c>
      <c r="J5" s="16" t="n">
        <f aca="false">EDATE(I5,1)</f>
        <v>45260</v>
      </c>
      <c r="K5" s="16" t="n">
        <f aca="false">EDATE(J5,1)</f>
        <v>45290</v>
      </c>
      <c r="L5" s="16" t="n">
        <f aca="false">EDATE(K5,1)</f>
        <v>45321</v>
      </c>
      <c r="M5" s="16" t="n">
        <f aca="false">EDATE(L5,1)</f>
        <v>45351</v>
      </c>
      <c r="N5" s="16" t="n">
        <f aca="false">EDATE(M5,1)</f>
        <v>45380</v>
      </c>
      <c r="O5" s="16" t="n">
        <f aca="false">EDATE(N5,1)</f>
        <v>45411</v>
      </c>
      <c r="P5" s="16" t="n">
        <f aca="false">EDATE(O5,1)</f>
        <v>45441</v>
      </c>
      <c r="Q5" s="16" t="n">
        <f aca="false">EDATE(P5,1)</f>
        <v>45472</v>
      </c>
      <c r="R5" s="17" t="s">
        <v>8</v>
      </c>
      <c r="T5" s="13" t="s">
        <v>9</v>
      </c>
    </row>
    <row r="6" customFormat="false" ht="19.5" hidden="false" customHeight="true" outlineLevel="0" collapsed="false">
      <c r="B6" s="18" t="n">
        <v>1</v>
      </c>
      <c r="C6" s="19" t="s">
        <v>10</v>
      </c>
      <c r="D6" s="20" t="s">
        <v>11</v>
      </c>
      <c r="E6" s="21" t="n">
        <v>5</v>
      </c>
      <c r="F6" s="22" t="n">
        <v>3</v>
      </c>
      <c r="G6" s="22" t="n">
        <v>3</v>
      </c>
      <c r="H6" s="22" t="n">
        <v>3</v>
      </c>
      <c r="I6" s="22"/>
      <c r="J6" s="22"/>
      <c r="K6" s="22"/>
      <c r="L6" s="22"/>
      <c r="M6" s="22"/>
      <c r="N6" s="22"/>
      <c r="O6" s="22"/>
      <c r="P6" s="22"/>
      <c r="Q6" s="23"/>
      <c r="R6" s="24" t="n">
        <f aca="false">SUM(E6:Q6)</f>
        <v>14</v>
      </c>
    </row>
    <row r="7" customFormat="false" ht="19.5" hidden="false" customHeight="true" outlineLevel="0" collapsed="false">
      <c r="B7" s="18"/>
      <c r="C7" s="19"/>
      <c r="D7" s="25" t="s">
        <v>12</v>
      </c>
      <c r="E7" s="26" t="n">
        <v>5</v>
      </c>
      <c r="F7" s="27" t="n">
        <v>3</v>
      </c>
      <c r="G7" s="27" t="n">
        <v>4</v>
      </c>
      <c r="H7" s="27" t="n">
        <v>2</v>
      </c>
      <c r="I7" s="27"/>
      <c r="J7" s="27"/>
      <c r="K7" s="27"/>
      <c r="L7" s="27"/>
      <c r="M7" s="27"/>
      <c r="N7" s="27"/>
      <c r="O7" s="27"/>
      <c r="P7" s="27"/>
      <c r="Q7" s="28"/>
      <c r="R7" s="29" t="n">
        <f aca="false">SUM(E7:Q7)</f>
        <v>14</v>
      </c>
    </row>
    <row r="8" customFormat="false" ht="19.5" hidden="false" customHeight="true" outlineLevel="0" collapsed="false">
      <c r="B8" s="30" t="n">
        <v>2</v>
      </c>
      <c r="C8" s="31" t="s">
        <v>10</v>
      </c>
      <c r="D8" s="32" t="s">
        <v>11</v>
      </c>
      <c r="E8" s="33" t="n">
        <v>3</v>
      </c>
      <c r="F8" s="34" t="n">
        <v>1</v>
      </c>
      <c r="G8" s="34" t="n">
        <v>4</v>
      </c>
      <c r="H8" s="34"/>
      <c r="I8" s="34"/>
      <c r="J8" s="34"/>
      <c r="K8" s="34"/>
      <c r="L8" s="34"/>
      <c r="M8" s="34"/>
      <c r="N8" s="34"/>
      <c r="O8" s="34"/>
      <c r="P8" s="34"/>
      <c r="Q8" s="35"/>
      <c r="R8" s="36" t="n">
        <f aca="false">SUM(E8:Q8)</f>
        <v>8</v>
      </c>
    </row>
    <row r="9" customFormat="false" ht="19.5" hidden="false" customHeight="true" outlineLevel="0" collapsed="false">
      <c r="B9" s="30"/>
      <c r="C9" s="31"/>
      <c r="D9" s="25" t="s">
        <v>12</v>
      </c>
      <c r="E9" s="26" t="n">
        <v>3</v>
      </c>
      <c r="F9" s="27" t="n">
        <v>4</v>
      </c>
      <c r="G9" s="27" t="n">
        <v>4</v>
      </c>
      <c r="H9" s="27"/>
      <c r="I9" s="27"/>
      <c r="J9" s="27"/>
      <c r="K9" s="27"/>
      <c r="L9" s="27"/>
      <c r="M9" s="27"/>
      <c r="N9" s="27"/>
      <c r="O9" s="27"/>
      <c r="P9" s="27"/>
      <c r="Q9" s="28"/>
      <c r="R9" s="29" t="n">
        <f aca="false">SUM(E9:Q9)</f>
        <v>11</v>
      </c>
    </row>
    <row r="10" customFormat="false" ht="19.5" hidden="false" customHeight="true" outlineLevel="0" collapsed="false">
      <c r="B10" s="30" t="n">
        <v>3</v>
      </c>
      <c r="C10" s="31" t="s">
        <v>10</v>
      </c>
      <c r="D10" s="32" t="s">
        <v>11</v>
      </c>
      <c r="E10" s="33" t="n">
        <v>3</v>
      </c>
      <c r="F10" s="34" t="n">
        <v>2</v>
      </c>
      <c r="G10" s="34" t="n">
        <v>2</v>
      </c>
      <c r="H10" s="34" t="n">
        <v>1</v>
      </c>
      <c r="I10" s="34" t="n">
        <v>10</v>
      </c>
      <c r="J10" s="34"/>
      <c r="K10" s="34"/>
      <c r="L10" s="34"/>
      <c r="M10" s="34"/>
      <c r="N10" s="34"/>
      <c r="O10" s="34"/>
      <c r="P10" s="34"/>
      <c r="Q10" s="35"/>
      <c r="R10" s="36" t="n">
        <f aca="false">SUM(E10:Q10)</f>
        <v>18</v>
      </c>
    </row>
    <row r="11" customFormat="false" ht="19.5" hidden="false" customHeight="true" outlineLevel="0" collapsed="false">
      <c r="B11" s="30"/>
      <c r="C11" s="31"/>
      <c r="D11" s="25" t="s">
        <v>12</v>
      </c>
      <c r="E11" s="26" t="n">
        <v>3</v>
      </c>
      <c r="F11" s="27" t="n">
        <v>4</v>
      </c>
      <c r="G11" s="27" t="n">
        <v>4</v>
      </c>
      <c r="H11" s="27" t="n">
        <v>4</v>
      </c>
      <c r="I11" s="27" t="n">
        <v>9</v>
      </c>
      <c r="J11" s="27"/>
      <c r="K11" s="27"/>
      <c r="L11" s="27"/>
      <c r="M11" s="27"/>
      <c r="N11" s="27"/>
      <c r="O11" s="27"/>
      <c r="P11" s="27"/>
      <c r="Q11" s="28"/>
      <c r="R11" s="29" t="n">
        <f aca="false">SUM(E11:Q11)</f>
        <v>24</v>
      </c>
      <c r="T11" s="37"/>
    </row>
    <row r="12" customFormat="false" ht="19.5" hidden="false" customHeight="true" outlineLevel="0" collapsed="false">
      <c r="B12" s="30" t="n">
        <v>4</v>
      </c>
      <c r="C12" s="31" t="s">
        <v>10</v>
      </c>
      <c r="D12" s="32" t="s">
        <v>11</v>
      </c>
      <c r="E12" s="33"/>
      <c r="F12" s="34"/>
      <c r="G12" s="34"/>
      <c r="H12" s="34"/>
      <c r="I12" s="34"/>
      <c r="J12" s="34"/>
      <c r="K12" s="34"/>
      <c r="L12" s="34"/>
      <c r="M12" s="34"/>
      <c r="N12" s="34"/>
      <c r="O12" s="34"/>
      <c r="P12" s="34"/>
      <c r="Q12" s="35"/>
      <c r="R12" s="36" t="n">
        <f aca="false">SUM(E12:Q12)</f>
        <v>0</v>
      </c>
    </row>
    <row r="13" customFormat="false" ht="19.5" hidden="false" customHeight="true" outlineLevel="0" collapsed="false">
      <c r="B13" s="30"/>
      <c r="C13" s="31"/>
      <c r="D13" s="25" t="s">
        <v>12</v>
      </c>
      <c r="E13" s="26"/>
      <c r="F13" s="27"/>
      <c r="G13" s="27"/>
      <c r="H13" s="27"/>
      <c r="I13" s="27"/>
      <c r="J13" s="27"/>
      <c r="K13" s="27"/>
      <c r="L13" s="27"/>
      <c r="M13" s="27"/>
      <c r="N13" s="27"/>
      <c r="O13" s="27"/>
      <c r="P13" s="27"/>
      <c r="Q13" s="28"/>
      <c r="R13" s="29" t="n">
        <f aca="false">SUM(E13:Q13)</f>
        <v>0</v>
      </c>
    </row>
    <row r="14" customFormat="false" ht="19.5" hidden="false" customHeight="true" outlineLevel="0" collapsed="false">
      <c r="B14" s="30" t="n">
        <v>5</v>
      </c>
      <c r="C14" s="31" t="s">
        <v>10</v>
      </c>
      <c r="D14" s="38" t="s">
        <v>11</v>
      </c>
      <c r="E14" s="33"/>
      <c r="F14" s="34"/>
      <c r="G14" s="34"/>
      <c r="H14" s="34"/>
      <c r="I14" s="34"/>
      <c r="J14" s="34"/>
      <c r="K14" s="34"/>
      <c r="L14" s="34"/>
      <c r="M14" s="34"/>
      <c r="N14" s="34"/>
      <c r="O14" s="34"/>
      <c r="P14" s="34"/>
      <c r="Q14" s="35"/>
      <c r="R14" s="36" t="n">
        <f aca="false">SUM(E14:Q14)</f>
        <v>0</v>
      </c>
    </row>
    <row r="15" customFormat="false" ht="19.5" hidden="false" customHeight="true" outlineLevel="0" collapsed="false">
      <c r="B15" s="30"/>
      <c r="C15" s="31"/>
      <c r="D15" s="25" t="s">
        <v>12</v>
      </c>
      <c r="E15" s="26"/>
      <c r="F15" s="27"/>
      <c r="G15" s="27"/>
      <c r="H15" s="27"/>
      <c r="I15" s="27"/>
      <c r="J15" s="27"/>
      <c r="K15" s="27"/>
      <c r="L15" s="27"/>
      <c r="M15" s="27"/>
      <c r="N15" s="27"/>
      <c r="O15" s="27"/>
      <c r="P15" s="27"/>
      <c r="Q15" s="28"/>
      <c r="R15" s="29" t="n">
        <f aca="false">SUM(E15:Q15)</f>
        <v>0</v>
      </c>
    </row>
    <row r="16" customFormat="false" ht="19.5" hidden="false" customHeight="true" outlineLevel="0" collapsed="false">
      <c r="B16" s="30" t="n">
        <v>6</v>
      </c>
      <c r="C16" s="31" t="s">
        <v>10</v>
      </c>
      <c r="D16" s="38" t="s">
        <v>11</v>
      </c>
      <c r="E16" s="33"/>
      <c r="F16" s="34"/>
      <c r="G16" s="34"/>
      <c r="H16" s="34"/>
      <c r="I16" s="34"/>
      <c r="J16" s="34"/>
      <c r="K16" s="34"/>
      <c r="L16" s="34"/>
      <c r="M16" s="34"/>
      <c r="N16" s="34"/>
      <c r="O16" s="34"/>
      <c r="P16" s="34"/>
      <c r="Q16" s="35"/>
      <c r="R16" s="36" t="n">
        <f aca="false">SUM(E16:Q16)</f>
        <v>0</v>
      </c>
    </row>
    <row r="17" customFormat="false" ht="19.5" hidden="false" customHeight="true" outlineLevel="0" collapsed="false">
      <c r="B17" s="30"/>
      <c r="C17" s="31"/>
      <c r="D17" s="25" t="s">
        <v>12</v>
      </c>
      <c r="E17" s="26"/>
      <c r="F17" s="27"/>
      <c r="G17" s="27"/>
      <c r="H17" s="27"/>
      <c r="I17" s="27"/>
      <c r="J17" s="27"/>
      <c r="K17" s="27"/>
      <c r="L17" s="27"/>
      <c r="M17" s="27"/>
      <c r="N17" s="27"/>
      <c r="O17" s="27"/>
      <c r="P17" s="27"/>
      <c r="Q17" s="28"/>
      <c r="R17" s="29" t="n">
        <f aca="false">SUM(E17:Q17)</f>
        <v>0</v>
      </c>
      <c r="T17" s="13"/>
    </row>
    <row r="18" customFormat="false" ht="19.5" hidden="false" customHeight="true" outlineLevel="0" collapsed="false">
      <c r="B18" s="30" t="n">
        <v>7</v>
      </c>
      <c r="C18" s="31" t="s">
        <v>10</v>
      </c>
      <c r="D18" s="38" t="s">
        <v>11</v>
      </c>
      <c r="E18" s="33"/>
      <c r="F18" s="34"/>
      <c r="G18" s="34"/>
      <c r="H18" s="34"/>
      <c r="I18" s="34"/>
      <c r="J18" s="34"/>
      <c r="K18" s="34"/>
      <c r="L18" s="34"/>
      <c r="M18" s="34"/>
      <c r="N18" s="34"/>
      <c r="O18" s="34"/>
      <c r="P18" s="34"/>
      <c r="Q18" s="35"/>
      <c r="R18" s="36" t="n">
        <f aca="false">SUM(E18:Q18)</f>
        <v>0</v>
      </c>
    </row>
    <row r="19" customFormat="false" ht="19.5" hidden="false" customHeight="true" outlineLevel="0" collapsed="false">
      <c r="B19" s="30"/>
      <c r="C19" s="31"/>
      <c r="D19" s="25" t="s">
        <v>12</v>
      </c>
      <c r="E19" s="26"/>
      <c r="F19" s="27"/>
      <c r="G19" s="27"/>
      <c r="H19" s="27"/>
      <c r="I19" s="27"/>
      <c r="J19" s="27"/>
      <c r="K19" s="27"/>
      <c r="L19" s="27"/>
      <c r="M19" s="27"/>
      <c r="N19" s="27"/>
      <c r="O19" s="27"/>
      <c r="P19" s="27"/>
      <c r="Q19" s="28"/>
      <c r="R19" s="29" t="n">
        <f aca="false">SUM(E19:Q19)</f>
        <v>0</v>
      </c>
    </row>
    <row r="20" customFormat="false" ht="19.5" hidden="false" customHeight="true" outlineLevel="0" collapsed="false">
      <c r="B20" s="30" t="n">
        <v>8</v>
      </c>
      <c r="C20" s="31" t="s">
        <v>10</v>
      </c>
      <c r="D20" s="38" t="s">
        <v>11</v>
      </c>
      <c r="E20" s="33"/>
      <c r="F20" s="34"/>
      <c r="G20" s="34"/>
      <c r="H20" s="34"/>
      <c r="I20" s="34"/>
      <c r="J20" s="34"/>
      <c r="K20" s="34"/>
      <c r="L20" s="34"/>
      <c r="M20" s="34"/>
      <c r="N20" s="34"/>
      <c r="O20" s="34"/>
      <c r="P20" s="34"/>
      <c r="Q20" s="35"/>
      <c r="R20" s="36" t="n">
        <f aca="false">SUM(E20:Q20)</f>
        <v>0</v>
      </c>
      <c r="T20" s="13"/>
    </row>
    <row r="21" customFormat="false" ht="19.5" hidden="false" customHeight="true" outlineLevel="0" collapsed="false">
      <c r="B21" s="30"/>
      <c r="C21" s="31"/>
      <c r="D21" s="25" t="s">
        <v>12</v>
      </c>
      <c r="E21" s="26"/>
      <c r="F21" s="27"/>
      <c r="G21" s="27"/>
      <c r="H21" s="27"/>
      <c r="I21" s="27"/>
      <c r="J21" s="27"/>
      <c r="K21" s="27"/>
      <c r="L21" s="27"/>
      <c r="M21" s="27"/>
      <c r="N21" s="27"/>
      <c r="O21" s="27"/>
      <c r="P21" s="27"/>
      <c r="Q21" s="28"/>
      <c r="R21" s="29" t="n">
        <f aca="false">SUM(E21:Q21)</f>
        <v>0</v>
      </c>
      <c r="T21" s="13"/>
    </row>
    <row r="22" customFormat="false" ht="19.5" hidden="false" customHeight="true" outlineLevel="0" collapsed="false">
      <c r="B22" s="30" t="n">
        <v>9</v>
      </c>
      <c r="C22" s="31" t="s">
        <v>10</v>
      </c>
      <c r="D22" s="38" t="s">
        <v>11</v>
      </c>
      <c r="E22" s="33"/>
      <c r="F22" s="34"/>
      <c r="G22" s="34"/>
      <c r="H22" s="34"/>
      <c r="I22" s="34"/>
      <c r="J22" s="34"/>
      <c r="K22" s="34"/>
      <c r="L22" s="34"/>
      <c r="M22" s="34"/>
      <c r="N22" s="34"/>
      <c r="O22" s="34"/>
      <c r="P22" s="34"/>
      <c r="Q22" s="35"/>
      <c r="R22" s="36" t="n">
        <f aca="false">SUM(E22:Q22)</f>
        <v>0</v>
      </c>
    </row>
    <row r="23" customFormat="false" ht="19.5" hidden="false" customHeight="true" outlineLevel="0" collapsed="false">
      <c r="B23" s="30"/>
      <c r="C23" s="31"/>
      <c r="D23" s="25" t="s">
        <v>12</v>
      </c>
      <c r="E23" s="26"/>
      <c r="F23" s="27"/>
      <c r="G23" s="27"/>
      <c r="H23" s="27"/>
      <c r="I23" s="27"/>
      <c r="J23" s="27"/>
      <c r="K23" s="27"/>
      <c r="L23" s="27"/>
      <c r="M23" s="27"/>
      <c r="N23" s="27"/>
      <c r="O23" s="27"/>
      <c r="P23" s="27"/>
      <c r="Q23" s="28"/>
      <c r="R23" s="29" t="n">
        <f aca="false">SUM(E23:Q23)</f>
        <v>0</v>
      </c>
    </row>
    <row r="24" customFormat="false" ht="19.5" hidden="false" customHeight="true" outlineLevel="0" collapsed="false">
      <c r="B24" s="30" t="n">
        <v>10</v>
      </c>
      <c r="C24" s="31" t="s">
        <v>10</v>
      </c>
      <c r="D24" s="38" t="s">
        <v>11</v>
      </c>
      <c r="E24" s="33"/>
      <c r="F24" s="34"/>
      <c r="G24" s="34"/>
      <c r="H24" s="34"/>
      <c r="I24" s="34"/>
      <c r="J24" s="34"/>
      <c r="K24" s="34"/>
      <c r="L24" s="34"/>
      <c r="M24" s="34"/>
      <c r="N24" s="34"/>
      <c r="O24" s="34"/>
      <c r="P24" s="34"/>
      <c r="Q24" s="35"/>
      <c r="R24" s="36" t="n">
        <f aca="false">SUM(E24:Q24)</f>
        <v>0</v>
      </c>
    </row>
    <row r="25" customFormat="false" ht="19.5" hidden="false" customHeight="true" outlineLevel="0" collapsed="false">
      <c r="B25" s="30"/>
      <c r="C25" s="31"/>
      <c r="D25" s="25" t="s">
        <v>12</v>
      </c>
      <c r="E25" s="26"/>
      <c r="F25" s="27"/>
      <c r="G25" s="27"/>
      <c r="H25" s="27"/>
      <c r="I25" s="27"/>
      <c r="J25" s="27"/>
      <c r="K25" s="27"/>
      <c r="L25" s="27"/>
      <c r="M25" s="27"/>
      <c r="N25" s="27"/>
      <c r="O25" s="27"/>
      <c r="P25" s="27"/>
      <c r="Q25" s="28"/>
      <c r="R25" s="29" t="n">
        <f aca="false">SUM(E25:Q25)</f>
        <v>0</v>
      </c>
    </row>
    <row r="26" customFormat="false" ht="19.5" hidden="false" customHeight="true" outlineLevel="0" collapsed="false">
      <c r="B26" s="30" t="n">
        <v>11</v>
      </c>
      <c r="C26" s="31" t="s">
        <v>10</v>
      </c>
      <c r="D26" s="38" t="s">
        <v>11</v>
      </c>
      <c r="E26" s="33"/>
      <c r="F26" s="34"/>
      <c r="G26" s="34"/>
      <c r="H26" s="34"/>
      <c r="I26" s="34"/>
      <c r="J26" s="34"/>
      <c r="K26" s="34"/>
      <c r="L26" s="34"/>
      <c r="M26" s="34"/>
      <c r="N26" s="34"/>
      <c r="O26" s="34"/>
      <c r="P26" s="34"/>
      <c r="Q26" s="35"/>
      <c r="R26" s="36" t="n">
        <f aca="false">SUM(E26:Q26)</f>
        <v>0</v>
      </c>
    </row>
    <row r="27" customFormat="false" ht="19.5" hidden="false" customHeight="true" outlineLevel="0" collapsed="false">
      <c r="B27" s="30"/>
      <c r="C27" s="31"/>
      <c r="D27" s="25" t="s">
        <v>12</v>
      </c>
      <c r="E27" s="26"/>
      <c r="F27" s="27"/>
      <c r="G27" s="27"/>
      <c r="H27" s="27"/>
      <c r="I27" s="27"/>
      <c r="J27" s="27"/>
      <c r="K27" s="27"/>
      <c r="L27" s="27"/>
      <c r="M27" s="27"/>
      <c r="N27" s="27"/>
      <c r="O27" s="27"/>
      <c r="P27" s="27"/>
      <c r="Q27" s="28"/>
      <c r="R27" s="29" t="n">
        <f aca="false">SUM(E27:Q27)</f>
        <v>0</v>
      </c>
    </row>
    <row r="28" customFormat="false" ht="19.5" hidden="false" customHeight="true" outlineLevel="0" collapsed="false">
      <c r="B28" s="30" t="n">
        <v>12</v>
      </c>
      <c r="C28" s="31" t="s">
        <v>10</v>
      </c>
      <c r="D28" s="38" t="s">
        <v>11</v>
      </c>
      <c r="E28" s="33"/>
      <c r="F28" s="34"/>
      <c r="G28" s="34"/>
      <c r="H28" s="34"/>
      <c r="I28" s="34"/>
      <c r="J28" s="34"/>
      <c r="K28" s="34"/>
      <c r="L28" s="34"/>
      <c r="M28" s="34"/>
      <c r="N28" s="34"/>
      <c r="O28" s="34"/>
      <c r="P28" s="34"/>
      <c r="Q28" s="35"/>
      <c r="R28" s="36" t="n">
        <f aca="false">SUM(E28:Q28)</f>
        <v>0</v>
      </c>
    </row>
    <row r="29" customFormat="false" ht="19.5" hidden="false" customHeight="true" outlineLevel="0" collapsed="false">
      <c r="B29" s="30"/>
      <c r="C29" s="31"/>
      <c r="D29" s="25" t="s">
        <v>12</v>
      </c>
      <c r="E29" s="26"/>
      <c r="F29" s="27"/>
      <c r="G29" s="27"/>
      <c r="H29" s="27"/>
      <c r="I29" s="27"/>
      <c r="J29" s="27"/>
      <c r="K29" s="27"/>
      <c r="L29" s="27"/>
      <c r="M29" s="27"/>
      <c r="N29" s="27"/>
      <c r="O29" s="27"/>
      <c r="P29" s="27"/>
      <c r="Q29" s="28"/>
      <c r="R29" s="29" t="n">
        <f aca="false">SUM(E29:Q29)</f>
        <v>0</v>
      </c>
    </row>
    <row r="30" customFormat="false" ht="19.5" hidden="false" customHeight="true" outlineLevel="0" collapsed="false">
      <c r="B30" s="30" t="n">
        <v>13</v>
      </c>
      <c r="C30" s="31" t="s">
        <v>10</v>
      </c>
      <c r="D30" s="38" t="s">
        <v>11</v>
      </c>
      <c r="E30" s="33"/>
      <c r="F30" s="34"/>
      <c r="G30" s="34"/>
      <c r="H30" s="34"/>
      <c r="I30" s="34"/>
      <c r="J30" s="34"/>
      <c r="K30" s="34"/>
      <c r="L30" s="34"/>
      <c r="M30" s="34"/>
      <c r="N30" s="34"/>
      <c r="O30" s="34"/>
      <c r="P30" s="34"/>
      <c r="Q30" s="35"/>
      <c r="R30" s="36" t="n">
        <f aca="false">SUM(E30:Q30)</f>
        <v>0</v>
      </c>
    </row>
    <row r="31" customFormat="false" ht="19.5" hidden="false" customHeight="true" outlineLevel="0" collapsed="false">
      <c r="B31" s="30"/>
      <c r="C31" s="31"/>
      <c r="D31" s="25" t="s">
        <v>12</v>
      </c>
      <c r="E31" s="26"/>
      <c r="F31" s="27"/>
      <c r="G31" s="27"/>
      <c r="H31" s="27"/>
      <c r="I31" s="27"/>
      <c r="J31" s="27"/>
      <c r="K31" s="27"/>
      <c r="L31" s="27"/>
      <c r="M31" s="27"/>
      <c r="N31" s="27"/>
      <c r="O31" s="27"/>
      <c r="P31" s="27"/>
      <c r="Q31" s="28"/>
      <c r="R31" s="29" t="n">
        <f aca="false">SUM(E31:Q31)</f>
        <v>0</v>
      </c>
    </row>
    <row r="32" customFormat="false" ht="19.5" hidden="false" customHeight="true" outlineLevel="0" collapsed="false">
      <c r="B32" s="30" t="n">
        <v>14</v>
      </c>
      <c r="C32" s="31" t="s">
        <v>10</v>
      </c>
      <c r="D32" s="38" t="s">
        <v>11</v>
      </c>
      <c r="E32" s="33"/>
      <c r="F32" s="34"/>
      <c r="G32" s="34"/>
      <c r="H32" s="34"/>
      <c r="I32" s="34"/>
      <c r="J32" s="34"/>
      <c r="K32" s="34"/>
      <c r="L32" s="34"/>
      <c r="M32" s="34"/>
      <c r="N32" s="34"/>
      <c r="O32" s="34"/>
      <c r="P32" s="34"/>
      <c r="Q32" s="35"/>
      <c r="R32" s="36" t="n">
        <f aca="false">SUM(E32:Q32)</f>
        <v>0</v>
      </c>
    </row>
    <row r="33" customFormat="false" ht="19.5" hidden="false" customHeight="true" outlineLevel="0" collapsed="false">
      <c r="B33" s="30"/>
      <c r="C33" s="31"/>
      <c r="D33" s="39" t="s">
        <v>12</v>
      </c>
      <c r="E33" s="26"/>
      <c r="F33" s="27"/>
      <c r="G33" s="27"/>
      <c r="H33" s="27"/>
      <c r="I33" s="27"/>
      <c r="J33" s="27"/>
      <c r="K33" s="27"/>
      <c r="L33" s="27"/>
      <c r="M33" s="27"/>
      <c r="N33" s="27"/>
      <c r="O33" s="27"/>
      <c r="P33" s="27"/>
      <c r="Q33" s="28"/>
      <c r="R33" s="29" t="n">
        <f aca="false">SUM(E33:Q33)</f>
        <v>0</v>
      </c>
    </row>
    <row r="34" customFormat="false" ht="19.5" hidden="false" customHeight="true" outlineLevel="0" collapsed="false">
      <c r="B34" s="30" t="n">
        <v>15</v>
      </c>
      <c r="C34" s="31" t="s">
        <v>10</v>
      </c>
      <c r="D34" s="38" t="s">
        <v>11</v>
      </c>
      <c r="E34" s="33"/>
      <c r="F34" s="34"/>
      <c r="G34" s="34"/>
      <c r="H34" s="34"/>
      <c r="I34" s="34"/>
      <c r="J34" s="34"/>
      <c r="K34" s="34"/>
      <c r="L34" s="34"/>
      <c r="M34" s="34"/>
      <c r="N34" s="34"/>
      <c r="O34" s="34"/>
      <c r="P34" s="34"/>
      <c r="Q34" s="35"/>
      <c r="R34" s="36" t="n">
        <f aca="false">SUM(E34:Q34)</f>
        <v>0</v>
      </c>
    </row>
    <row r="35" customFormat="false" ht="19.5" hidden="false" customHeight="true" outlineLevel="0" collapsed="false">
      <c r="B35" s="30"/>
      <c r="C35" s="31"/>
      <c r="D35" s="39" t="s">
        <v>12</v>
      </c>
      <c r="E35" s="26"/>
      <c r="F35" s="27"/>
      <c r="G35" s="27"/>
      <c r="H35" s="27"/>
      <c r="I35" s="27"/>
      <c r="J35" s="27"/>
      <c r="K35" s="27"/>
      <c r="L35" s="27"/>
      <c r="M35" s="27"/>
      <c r="N35" s="27"/>
      <c r="O35" s="27"/>
      <c r="P35" s="27"/>
      <c r="Q35" s="28"/>
      <c r="R35" s="29" t="n">
        <f aca="false">SUM(E35:Q35)</f>
        <v>0</v>
      </c>
    </row>
    <row r="36" customFormat="false" ht="19.5" hidden="false" customHeight="true" outlineLevel="0" collapsed="false">
      <c r="B36" s="30" t="n">
        <v>16</v>
      </c>
      <c r="C36" s="31" t="s">
        <v>10</v>
      </c>
      <c r="D36" s="38" t="s">
        <v>11</v>
      </c>
      <c r="E36" s="33"/>
      <c r="F36" s="34"/>
      <c r="G36" s="34"/>
      <c r="H36" s="34"/>
      <c r="I36" s="34"/>
      <c r="J36" s="34"/>
      <c r="K36" s="34"/>
      <c r="L36" s="34"/>
      <c r="M36" s="34"/>
      <c r="N36" s="34"/>
      <c r="O36" s="34"/>
      <c r="P36" s="34"/>
      <c r="Q36" s="35"/>
      <c r="R36" s="36" t="n">
        <f aca="false">SUM(E36:Q36)</f>
        <v>0</v>
      </c>
    </row>
    <row r="37" customFormat="false" ht="19.5" hidden="false" customHeight="true" outlineLevel="0" collapsed="false">
      <c r="B37" s="30"/>
      <c r="C37" s="31"/>
      <c r="D37" s="39" t="s">
        <v>12</v>
      </c>
      <c r="E37" s="26"/>
      <c r="F37" s="27"/>
      <c r="G37" s="27"/>
      <c r="H37" s="27"/>
      <c r="I37" s="27"/>
      <c r="J37" s="27"/>
      <c r="K37" s="27"/>
      <c r="L37" s="27"/>
      <c r="M37" s="27"/>
      <c r="N37" s="27"/>
      <c r="O37" s="27"/>
      <c r="P37" s="27"/>
      <c r="Q37" s="28"/>
      <c r="R37" s="29" t="n">
        <f aca="false">SUM(E37:Q37)</f>
        <v>0</v>
      </c>
    </row>
    <row r="38" customFormat="false" ht="19.5" hidden="false" customHeight="true" outlineLevel="0" collapsed="false">
      <c r="B38" s="30" t="n">
        <v>17</v>
      </c>
      <c r="C38" s="31" t="s">
        <v>10</v>
      </c>
      <c r="D38" s="38" t="s">
        <v>11</v>
      </c>
      <c r="E38" s="33"/>
      <c r="F38" s="34"/>
      <c r="G38" s="34"/>
      <c r="H38" s="34"/>
      <c r="I38" s="34"/>
      <c r="J38" s="34"/>
      <c r="K38" s="34"/>
      <c r="L38" s="34"/>
      <c r="M38" s="34"/>
      <c r="N38" s="34"/>
      <c r="O38" s="34"/>
      <c r="P38" s="34"/>
      <c r="Q38" s="35"/>
      <c r="R38" s="36" t="n">
        <f aca="false">SUM(E38:Q38)</f>
        <v>0</v>
      </c>
    </row>
    <row r="39" customFormat="false" ht="19.5" hidden="false" customHeight="true" outlineLevel="0" collapsed="false">
      <c r="B39" s="30"/>
      <c r="C39" s="31"/>
      <c r="D39" s="39" t="s">
        <v>12</v>
      </c>
      <c r="E39" s="26"/>
      <c r="F39" s="27"/>
      <c r="G39" s="27"/>
      <c r="H39" s="27"/>
      <c r="I39" s="27"/>
      <c r="J39" s="27"/>
      <c r="K39" s="27"/>
      <c r="L39" s="27"/>
      <c r="M39" s="27"/>
      <c r="N39" s="27"/>
      <c r="O39" s="27"/>
      <c r="P39" s="27"/>
      <c r="Q39" s="28"/>
      <c r="R39" s="29" t="n">
        <f aca="false">SUM(E39:Q39)</f>
        <v>0</v>
      </c>
    </row>
    <row r="40" customFormat="false" ht="19.5" hidden="false" customHeight="true" outlineLevel="0" collapsed="false">
      <c r="B40" s="30" t="n">
        <v>18</v>
      </c>
      <c r="C40" s="31" t="s">
        <v>10</v>
      </c>
      <c r="D40" s="38" t="s">
        <v>11</v>
      </c>
      <c r="E40" s="33"/>
      <c r="F40" s="34"/>
      <c r="G40" s="34"/>
      <c r="H40" s="34"/>
      <c r="I40" s="34"/>
      <c r="J40" s="34"/>
      <c r="K40" s="34"/>
      <c r="L40" s="34"/>
      <c r="M40" s="34"/>
      <c r="N40" s="34"/>
      <c r="O40" s="34"/>
      <c r="P40" s="34"/>
      <c r="Q40" s="35"/>
      <c r="R40" s="36" t="n">
        <f aca="false">SUM(E40:Q40)</f>
        <v>0</v>
      </c>
    </row>
    <row r="41" customFormat="false" ht="19.5" hidden="false" customHeight="true" outlineLevel="0" collapsed="false">
      <c r="B41" s="30"/>
      <c r="C41" s="31"/>
      <c r="D41" s="39" t="s">
        <v>12</v>
      </c>
      <c r="E41" s="26"/>
      <c r="F41" s="27"/>
      <c r="G41" s="27"/>
      <c r="H41" s="27"/>
      <c r="I41" s="27"/>
      <c r="J41" s="27"/>
      <c r="K41" s="27"/>
      <c r="L41" s="27"/>
      <c r="M41" s="27"/>
      <c r="N41" s="27"/>
      <c r="O41" s="27"/>
      <c r="P41" s="27"/>
      <c r="Q41" s="28"/>
      <c r="R41" s="29" t="n">
        <f aca="false">SUM(E41:Q41)</f>
        <v>0</v>
      </c>
    </row>
    <row r="42" customFormat="false" ht="19.5" hidden="false" customHeight="true" outlineLevel="0" collapsed="false">
      <c r="B42" s="30" t="n">
        <v>19</v>
      </c>
      <c r="C42" s="40" t="s">
        <v>10</v>
      </c>
      <c r="D42" s="38" t="s">
        <v>11</v>
      </c>
      <c r="E42" s="33"/>
      <c r="F42" s="34"/>
      <c r="G42" s="34"/>
      <c r="H42" s="34"/>
      <c r="I42" s="34"/>
      <c r="J42" s="34"/>
      <c r="K42" s="34"/>
      <c r="L42" s="34"/>
      <c r="M42" s="34"/>
      <c r="N42" s="34"/>
      <c r="O42" s="34"/>
      <c r="P42" s="34"/>
      <c r="Q42" s="35"/>
      <c r="R42" s="36" t="n">
        <f aca="false">SUM(E42:Q42)</f>
        <v>0</v>
      </c>
      <c r="T42" s="13" t="s">
        <v>13</v>
      </c>
    </row>
    <row r="43" customFormat="false" ht="19.5" hidden="false" customHeight="true" outlineLevel="0" collapsed="false">
      <c r="B43" s="30"/>
      <c r="C43" s="40"/>
      <c r="D43" s="39" t="s">
        <v>12</v>
      </c>
      <c r="E43" s="26"/>
      <c r="F43" s="27"/>
      <c r="G43" s="27"/>
      <c r="H43" s="27"/>
      <c r="I43" s="27"/>
      <c r="J43" s="27"/>
      <c r="K43" s="27"/>
      <c r="L43" s="27"/>
      <c r="M43" s="27"/>
      <c r="N43" s="27"/>
      <c r="O43" s="27"/>
      <c r="P43" s="27"/>
      <c r="Q43" s="28"/>
      <c r="R43" s="29" t="n">
        <f aca="false">SUM(E43:Q43)</f>
        <v>0</v>
      </c>
      <c r="T43" s="13" t="s">
        <v>14</v>
      </c>
    </row>
    <row r="44" customFormat="false" ht="19.5" hidden="false" customHeight="true" outlineLevel="0" collapsed="false">
      <c r="B44" s="41" t="n">
        <v>20</v>
      </c>
      <c r="C44" s="42" t="s">
        <v>10</v>
      </c>
      <c r="D44" s="38" t="s">
        <v>11</v>
      </c>
      <c r="E44" s="33"/>
      <c r="F44" s="34"/>
      <c r="G44" s="34"/>
      <c r="H44" s="34"/>
      <c r="I44" s="34"/>
      <c r="J44" s="34"/>
      <c r="K44" s="34"/>
      <c r="L44" s="34"/>
      <c r="M44" s="34"/>
      <c r="N44" s="34"/>
      <c r="O44" s="34"/>
      <c r="P44" s="34"/>
      <c r="Q44" s="35"/>
      <c r="R44" s="36" t="n">
        <f aca="false">SUM(E44:Q44)</f>
        <v>0</v>
      </c>
    </row>
    <row r="45" customFormat="false" ht="19.5" hidden="false" customHeight="true" outlineLevel="0" collapsed="false">
      <c r="B45" s="41"/>
      <c r="C45" s="42"/>
      <c r="D45" s="43" t="s">
        <v>12</v>
      </c>
      <c r="E45" s="26"/>
      <c r="F45" s="27"/>
      <c r="G45" s="27"/>
      <c r="H45" s="27"/>
      <c r="I45" s="27"/>
      <c r="J45" s="27"/>
      <c r="K45" s="27"/>
      <c r="L45" s="27"/>
      <c r="M45" s="27"/>
      <c r="N45" s="27"/>
      <c r="O45" s="27"/>
      <c r="P45" s="27"/>
      <c r="Q45" s="28"/>
      <c r="R45" s="44" t="n">
        <f aca="false">SUM(E45:Q45)</f>
        <v>0</v>
      </c>
    </row>
    <row r="46" customFormat="false" ht="19.5" hidden="false" customHeight="true" outlineLevel="0" collapsed="false">
      <c r="B46" s="45"/>
      <c r="C46" s="46" t="s">
        <v>15</v>
      </c>
      <c r="D46" s="47" t="s">
        <v>11</v>
      </c>
      <c r="E46" s="48" t="n">
        <f aca="false" t="array" ref="E46:E46">SUM(E6:E45 *(MOD(ROW(E6:E45), 2) = 0))</f>
        <v>11</v>
      </c>
      <c r="F46" s="48" t="n">
        <f aca="false" t="array" ref="F46:F46">SUM(F6:F45 *(MOD(ROW(F6:F45), 2) = 0))</f>
        <v>6</v>
      </c>
      <c r="G46" s="48" t="n">
        <f aca="false" t="array" ref="G46:G46">SUM(G6:G45 *(MOD(ROW(G6:G45), 2) = 0))</f>
        <v>9</v>
      </c>
      <c r="H46" s="48" t="n">
        <f aca="false" t="array" ref="H46:H46">SUM(H6:H45 *(MOD(ROW(H6:H45), 2) = 0))</f>
        <v>4</v>
      </c>
      <c r="I46" s="48" t="n">
        <f aca="false" t="array" ref="I46:I46">SUM(I6:I45 *(MOD(ROW(I6:I45), 2) = 0))</f>
        <v>10</v>
      </c>
      <c r="J46" s="48" t="n">
        <f aca="false" t="array" ref="J46:J46">SUM(J6:J45 *(MOD(ROW(J6:J45), 2) = 0))</f>
        <v>0</v>
      </c>
      <c r="K46" s="48" t="n">
        <f aca="false" t="array" ref="K46:K46">SUM(K6:K45 *(MOD(ROW(K6:K45), 2) = 0))</f>
        <v>0</v>
      </c>
      <c r="L46" s="48" t="n">
        <f aca="false" t="array" ref="L46:L46">SUM(L6:L45 *(MOD(ROW(L6:L45), 2) = 0))</f>
        <v>0</v>
      </c>
      <c r="M46" s="48" t="n">
        <f aca="false" t="array" ref="M46:M46">SUM(M6:M45 *(MOD(ROW(M6:M45), 2) = 0))</f>
        <v>0</v>
      </c>
      <c r="N46" s="48" t="n">
        <f aca="false" t="array" ref="N46:N46">SUM(N6:N45 *(MOD(ROW(N6:N45), 2) = 0))</f>
        <v>0</v>
      </c>
      <c r="O46" s="48" t="n">
        <f aca="false" t="array" ref="O46:O46">SUM(O6:O45 *(MOD(ROW(O6:O45), 2) = 0))</f>
        <v>0</v>
      </c>
      <c r="P46" s="48" t="n">
        <f aca="false" t="array" ref="P46:P46">SUM(P6:P45 *(MOD(ROW(P6:P45), 2) = 0))</f>
        <v>0</v>
      </c>
      <c r="Q46" s="48" t="n">
        <f aca="false" t="array" ref="Q46:Q46">SUM(Q6:Q45 *(MOD(ROW(Q6:Q45), 2) = 0))</f>
        <v>0</v>
      </c>
      <c r="R46" s="49" t="n">
        <f aca="false">SUM(E46:Q46)</f>
        <v>40</v>
      </c>
    </row>
    <row r="47" customFormat="false" ht="19.5" hidden="false" customHeight="true" outlineLevel="0" collapsed="false">
      <c r="B47" s="50"/>
      <c r="C47" s="51" t="s">
        <v>16</v>
      </c>
      <c r="D47" s="52" t="s">
        <v>11</v>
      </c>
      <c r="E47" s="53" t="n">
        <f aca="false">E46</f>
        <v>11</v>
      </c>
      <c r="F47" s="53" t="n">
        <f aca="false">IF(F46=0,"",_xlfn.AGGREGATE(4,6,E47)+F46)</f>
        <v>17</v>
      </c>
      <c r="G47" s="53" t="n">
        <f aca="false">IF(G46=0,"",_xlfn.AGGREGATE(4,6,E47:F47)+G46)</f>
        <v>26</v>
      </c>
      <c r="H47" s="53" t="n">
        <f aca="false">IF(H46=0,"",_xlfn.AGGREGATE(4,6,E47:G47)+H46)</f>
        <v>30</v>
      </c>
      <c r="I47" s="53" t="n">
        <f aca="false">IF(I46=0,"",_xlfn.AGGREGATE(4,6,E47:H47)+I46)</f>
        <v>40</v>
      </c>
      <c r="J47" s="53" t="str">
        <f aca="false">IF(J46=0,"",_xlfn.AGGREGATE(4,6,E47:I47)+J46)</f>
        <v/>
      </c>
      <c r="K47" s="53" t="str">
        <f aca="false">IF(K46=0,"",_xlfn.AGGREGATE(4,6,E47:J47)+K46)</f>
        <v/>
      </c>
      <c r="L47" s="53" t="str">
        <f aca="false">IF(L46=0,"",_xlfn.AGGREGATE(4,6,E47:K47)+L46)</f>
        <v/>
      </c>
      <c r="M47" s="53" t="str">
        <f aca="false">IF(M46=0,"",_xlfn.AGGREGATE(4,6,E47:L47)+M46)</f>
        <v/>
      </c>
      <c r="N47" s="53" t="str">
        <f aca="false">IF(N46=0,"",_xlfn.AGGREGATE(4,6,E47:M47)+N46)</f>
        <v/>
      </c>
      <c r="O47" s="53" t="str">
        <f aca="false">IF(O46=0,"",_xlfn.AGGREGATE(4,6,E47:N47)+O46)</f>
        <v/>
      </c>
      <c r="P47" s="53" t="str">
        <f aca="false">IF(P46=0,"",_xlfn.AGGREGATE(4,6,E47:O47)+P46)</f>
        <v/>
      </c>
      <c r="Q47" s="53" t="str">
        <f aca="false">IF(Q46=0,"",_xlfn.AGGREGATE(4,6,E47:P47)+Q46)</f>
        <v/>
      </c>
      <c r="R47" s="54"/>
    </row>
    <row r="48" customFormat="false" ht="19.5" hidden="false" customHeight="true" outlineLevel="0" collapsed="false">
      <c r="B48" s="50"/>
      <c r="C48" s="51" t="s">
        <v>17</v>
      </c>
      <c r="D48" s="52" t="s">
        <v>12</v>
      </c>
      <c r="E48" s="55" t="n">
        <f aca="false" t="array" ref="E48:E48">SUM(E6:E45 *(MOD(ROW(E6:E45), 2) = 1))</f>
        <v>11</v>
      </c>
      <c r="F48" s="55" t="n">
        <f aca="false" t="array" ref="F48:F48">SUM(F6:F45 *(MOD(ROW(F6:F45), 2) = 1))</f>
        <v>11</v>
      </c>
      <c r="G48" s="55" t="n">
        <f aca="false" t="array" ref="G48:G48">SUM(G6:G45 *(MOD(ROW(G6:G45), 2) = 1))</f>
        <v>12</v>
      </c>
      <c r="H48" s="55" t="n">
        <f aca="false" t="array" ref="H48:H48">SUM(H6:H45 *(MOD(ROW(H6:H45), 2) = 1))</f>
        <v>6</v>
      </c>
      <c r="I48" s="55" t="n">
        <f aca="false" t="array" ref="I48:I48">SUM(I6:I45 *(MOD(ROW(I6:I45), 2) = 1))</f>
        <v>9</v>
      </c>
      <c r="J48" s="55" t="n">
        <f aca="false" t="array" ref="J48:J48">SUM(J6:J45 *(MOD(ROW(J6:J45), 2) = 1))</f>
        <v>0</v>
      </c>
      <c r="K48" s="55" t="n">
        <f aca="false" t="array" ref="K48:K48">SUM(K6:K45 *(MOD(ROW(K6:K45), 2) = 1))</f>
        <v>0</v>
      </c>
      <c r="L48" s="55" t="n">
        <f aca="false" t="array" ref="L48:L48">SUM(L6:L45 *(MOD(ROW(L6:L45), 2) = 1))</f>
        <v>0</v>
      </c>
      <c r="M48" s="55" t="n">
        <f aca="false" t="array" ref="M48:M48">SUM(M6:M45 *(MOD(ROW(M6:M45), 2) = 1))</f>
        <v>0</v>
      </c>
      <c r="N48" s="55" t="n">
        <f aca="false" t="array" ref="N48:N48">SUM(N6:N45 *(MOD(ROW(N6:N45), 2) = 1))</f>
        <v>0</v>
      </c>
      <c r="O48" s="55" t="n">
        <f aca="false" t="array" ref="O48:O48">SUM(O6:O45 *(MOD(ROW(O6:O45), 2) = 1))</f>
        <v>0</v>
      </c>
      <c r="P48" s="55" t="n">
        <f aca="false" t="array" ref="P48:P48">SUM(P6:P45 *(MOD(ROW(P6:P45), 2) = 1))</f>
        <v>0</v>
      </c>
      <c r="Q48" s="55" t="n">
        <f aca="false" t="array" ref="Q48:Q48">SUM(Q6:Q45 *(MOD(ROW(Q6:Q45), 2) = 1))</f>
        <v>0</v>
      </c>
      <c r="R48" s="56" t="n">
        <f aca="false">SUM(E48:Q48)</f>
        <v>49</v>
      </c>
    </row>
    <row r="49" customFormat="false" ht="19.5" hidden="false" customHeight="true" outlineLevel="0" collapsed="false">
      <c r="B49" s="57"/>
      <c r="C49" s="58" t="s">
        <v>18</v>
      </c>
      <c r="D49" s="59" t="s">
        <v>12</v>
      </c>
      <c r="E49" s="60" t="n">
        <f aca="false">E48</f>
        <v>11</v>
      </c>
      <c r="F49" s="60" t="n">
        <f aca="false">IF(F48=0,"",_xlfn.AGGREGATE(4,6,E49)+F48)</f>
        <v>22</v>
      </c>
      <c r="G49" s="60" t="n">
        <f aca="false">IF(G48=0,"",_xlfn.AGGREGATE(4,6,E49:F49)+G48)</f>
        <v>34</v>
      </c>
      <c r="H49" s="60" t="n">
        <f aca="false">IF(H48=0,"",_xlfn.AGGREGATE(4,6,E49:G49)+H48)</f>
        <v>40</v>
      </c>
      <c r="I49" s="60" t="n">
        <f aca="false">IF(I48=0,"",_xlfn.AGGREGATE(4,6,E49:H49)+I48)</f>
        <v>49</v>
      </c>
      <c r="J49" s="60" t="str">
        <f aca="false">IF(J48=0,"",_xlfn.AGGREGATE(4,6,E49:I49)+J48)</f>
        <v/>
      </c>
      <c r="K49" s="60" t="str">
        <f aca="false">IF(K48=0,"",_xlfn.AGGREGATE(4,6,E49:J49)+K48)</f>
        <v/>
      </c>
      <c r="L49" s="60" t="str">
        <f aca="false">IF(L48=0,"",_xlfn.AGGREGATE(4,6,E49:K49)+L48)</f>
        <v/>
      </c>
      <c r="M49" s="60" t="str">
        <f aca="false">IF(M48=0,"",_xlfn.AGGREGATE(4,6,E49:L49)+M48)</f>
        <v/>
      </c>
      <c r="N49" s="60" t="str">
        <f aca="false">IF(N48=0,"",_xlfn.AGGREGATE(4,6,E49:M49)+N48)</f>
        <v/>
      </c>
      <c r="O49" s="60" t="str">
        <f aca="false">IF(O48=0,"",_xlfn.AGGREGATE(4,6,E49:N49)+O48)</f>
        <v/>
      </c>
      <c r="P49" s="60" t="str">
        <f aca="false">IF(P48=0,"",_xlfn.AGGREGATE(4,6,E49:O49)+P48)</f>
        <v/>
      </c>
      <c r="Q49" s="60" t="str">
        <f aca="false">IF(Q48=0,"",_xlfn.AGGREGATE(4,6,E49:P49)+Q48)</f>
        <v/>
      </c>
      <c r="R49" s="61"/>
    </row>
    <row r="50" customFormat="false" ht="13.8" hidden="false" customHeight="false" outlineLevel="0" collapsed="false">
      <c r="B50" s="62"/>
      <c r="C50" s="62"/>
      <c r="D50" s="62"/>
      <c r="E50" s="62"/>
      <c r="F50" s="62"/>
      <c r="G50" s="62"/>
      <c r="H50" s="62"/>
      <c r="I50" s="62"/>
      <c r="J50" s="62"/>
      <c r="K50" s="62"/>
      <c r="L50" s="62"/>
      <c r="M50" s="62"/>
      <c r="N50" s="62"/>
      <c r="O50" s="62"/>
      <c r="P50" s="62"/>
      <c r="Q50" s="62"/>
      <c r="R50" s="62"/>
    </row>
    <row r="51" customFormat="false" ht="13.8" hidden="false" customHeight="false" outlineLevel="0" collapsed="false">
      <c r="B51" s="62"/>
      <c r="C51" s="62"/>
      <c r="D51" s="62"/>
      <c r="E51" s="62"/>
      <c r="F51" s="62"/>
      <c r="G51" s="62"/>
      <c r="H51" s="62"/>
      <c r="I51" s="62"/>
      <c r="J51" s="62"/>
      <c r="K51" s="62"/>
      <c r="L51" s="62"/>
      <c r="M51" s="62"/>
      <c r="N51" s="62"/>
      <c r="O51" s="62"/>
      <c r="P51" s="62"/>
      <c r="Q51" s="62"/>
      <c r="R51" s="62"/>
    </row>
    <row r="52" customFormat="false" ht="13.8" hidden="false" customHeight="false" outlineLevel="0" collapsed="false">
      <c r="B52" s="62"/>
      <c r="C52" s="62"/>
      <c r="D52" s="62"/>
      <c r="E52" s="62"/>
      <c r="F52" s="62"/>
      <c r="G52" s="62"/>
      <c r="H52" s="62"/>
      <c r="I52" s="62"/>
      <c r="J52" s="62"/>
      <c r="K52" s="62"/>
      <c r="L52" s="62"/>
      <c r="M52" s="62"/>
      <c r="N52" s="62"/>
      <c r="O52" s="62"/>
      <c r="P52" s="62"/>
      <c r="Q52" s="62"/>
      <c r="R52" s="62"/>
    </row>
    <row r="53" customFormat="false" ht="13.8" hidden="false" customHeight="false" outlineLevel="0" collapsed="false">
      <c r="B53" s="62"/>
      <c r="C53" s="62"/>
      <c r="D53" s="62"/>
      <c r="E53" s="62"/>
      <c r="F53" s="62"/>
      <c r="G53" s="62"/>
      <c r="H53" s="62"/>
      <c r="I53" s="62"/>
      <c r="J53" s="62"/>
      <c r="K53" s="62"/>
      <c r="L53" s="62"/>
      <c r="M53" s="62"/>
      <c r="N53" s="62"/>
      <c r="O53" s="62"/>
      <c r="P53" s="62"/>
      <c r="Q53" s="62"/>
      <c r="R53" s="62"/>
    </row>
    <row r="54" customFormat="false" ht="13.8" hidden="false" customHeight="false" outlineLevel="0" collapsed="false">
      <c r="B54" s="62"/>
      <c r="C54" s="62"/>
      <c r="D54" s="62"/>
      <c r="E54" s="62"/>
      <c r="F54" s="62"/>
      <c r="G54" s="62"/>
      <c r="H54" s="62"/>
      <c r="I54" s="62"/>
      <c r="J54" s="62"/>
      <c r="K54" s="62"/>
      <c r="L54" s="62"/>
      <c r="M54" s="62"/>
      <c r="N54" s="62"/>
      <c r="O54" s="62"/>
      <c r="P54" s="62"/>
      <c r="Q54" s="62"/>
      <c r="R54" s="62"/>
    </row>
    <row r="55" customFormat="false" ht="13.8" hidden="false" customHeight="false" outlineLevel="0" collapsed="false">
      <c r="B55" s="62"/>
      <c r="C55" s="62"/>
      <c r="D55" s="62"/>
      <c r="E55" s="62"/>
      <c r="F55" s="62"/>
      <c r="G55" s="62"/>
      <c r="H55" s="62"/>
      <c r="I55" s="62"/>
      <c r="J55" s="62"/>
      <c r="K55" s="62"/>
      <c r="L55" s="62"/>
      <c r="M55" s="62"/>
      <c r="N55" s="62"/>
      <c r="O55" s="62"/>
      <c r="P55" s="62"/>
      <c r="Q55" s="62"/>
      <c r="R55" s="62"/>
    </row>
    <row r="56" customFormat="false" ht="13.8" hidden="false" customHeight="false" outlineLevel="0" collapsed="false">
      <c r="B56" s="62"/>
      <c r="C56" s="62"/>
      <c r="D56" s="62"/>
      <c r="E56" s="62"/>
      <c r="F56" s="62"/>
      <c r="G56" s="62"/>
      <c r="H56" s="62"/>
      <c r="I56" s="62"/>
      <c r="J56" s="62"/>
      <c r="K56" s="62"/>
      <c r="L56" s="62"/>
      <c r="M56" s="62"/>
      <c r="N56" s="62"/>
      <c r="O56" s="62"/>
      <c r="P56" s="62"/>
      <c r="Q56" s="62"/>
      <c r="R56" s="62"/>
    </row>
    <row r="57" customFormat="false" ht="13.8" hidden="false" customHeight="false" outlineLevel="0" collapsed="false">
      <c r="B57" s="62"/>
      <c r="C57" s="62"/>
      <c r="D57" s="62"/>
      <c r="E57" s="62"/>
      <c r="F57" s="62"/>
      <c r="G57" s="62"/>
      <c r="H57" s="62"/>
      <c r="I57" s="62"/>
      <c r="J57" s="62"/>
      <c r="K57" s="62"/>
      <c r="L57" s="62"/>
      <c r="M57" s="62"/>
      <c r="N57" s="62"/>
      <c r="O57" s="62"/>
      <c r="P57" s="62"/>
      <c r="Q57" s="62"/>
      <c r="R57" s="62"/>
    </row>
    <row r="58" customFormat="false" ht="13.8" hidden="false" customHeight="false" outlineLevel="0" collapsed="false">
      <c r="B58" s="62"/>
      <c r="C58" s="62"/>
      <c r="D58" s="62"/>
      <c r="E58" s="62"/>
      <c r="F58" s="62"/>
      <c r="G58" s="62"/>
      <c r="H58" s="62"/>
      <c r="I58" s="62"/>
      <c r="J58" s="62"/>
      <c r="K58" s="62"/>
      <c r="L58" s="62"/>
      <c r="M58" s="62"/>
      <c r="N58" s="62"/>
      <c r="O58" s="62"/>
      <c r="P58" s="62"/>
      <c r="Q58" s="62"/>
      <c r="R58" s="62"/>
    </row>
    <row r="59" customFormat="false" ht="13.8" hidden="false" customHeight="false" outlineLevel="0" collapsed="false">
      <c r="B59" s="62"/>
      <c r="C59" s="62"/>
      <c r="D59" s="62"/>
      <c r="E59" s="62"/>
      <c r="F59" s="62"/>
      <c r="G59" s="62"/>
      <c r="H59" s="62"/>
      <c r="I59" s="62"/>
      <c r="J59" s="62"/>
      <c r="K59" s="62"/>
      <c r="L59" s="62"/>
      <c r="M59" s="62"/>
      <c r="N59" s="62"/>
      <c r="O59" s="62"/>
      <c r="P59" s="62"/>
      <c r="Q59" s="62"/>
      <c r="R59" s="62"/>
    </row>
    <row r="60" customFormat="false" ht="13.8" hidden="false" customHeight="false" outlineLevel="0" collapsed="false">
      <c r="B60" s="62"/>
      <c r="C60" s="62"/>
      <c r="D60" s="62"/>
      <c r="E60" s="62"/>
      <c r="F60" s="62"/>
      <c r="G60" s="62"/>
      <c r="H60" s="62"/>
      <c r="I60" s="62"/>
      <c r="J60" s="62"/>
      <c r="K60" s="62"/>
      <c r="L60" s="62"/>
      <c r="M60" s="62"/>
      <c r="N60" s="62"/>
      <c r="O60" s="62"/>
      <c r="P60" s="62"/>
      <c r="Q60" s="62"/>
      <c r="R60" s="62"/>
    </row>
    <row r="61" customFormat="false" ht="13.8" hidden="false" customHeight="false" outlineLevel="0" collapsed="false">
      <c r="B61" s="62"/>
      <c r="C61" s="62"/>
      <c r="D61" s="62"/>
      <c r="E61" s="62"/>
      <c r="F61" s="62"/>
      <c r="G61" s="62"/>
      <c r="H61" s="62"/>
      <c r="I61" s="62"/>
      <c r="J61" s="62"/>
      <c r="K61" s="62"/>
      <c r="L61" s="62"/>
      <c r="M61" s="62"/>
      <c r="N61" s="62"/>
      <c r="O61" s="62"/>
      <c r="P61" s="62"/>
      <c r="Q61" s="62"/>
      <c r="R61" s="62"/>
    </row>
    <row r="62" customFormat="false" ht="13.8" hidden="false" customHeight="false" outlineLevel="0" collapsed="false">
      <c r="B62" s="62"/>
      <c r="C62" s="62"/>
      <c r="D62" s="62"/>
      <c r="E62" s="62"/>
      <c r="F62" s="62"/>
      <c r="G62" s="62"/>
      <c r="H62" s="62"/>
      <c r="I62" s="62"/>
      <c r="J62" s="62"/>
      <c r="K62" s="62"/>
      <c r="L62" s="62"/>
      <c r="M62" s="62"/>
      <c r="N62" s="62"/>
      <c r="O62" s="62"/>
      <c r="P62" s="62"/>
      <c r="Q62" s="62"/>
      <c r="R62" s="62"/>
    </row>
    <row r="63" customFormat="false" ht="13.8" hidden="false" customHeight="false" outlineLevel="0" collapsed="false">
      <c r="B63" s="62"/>
      <c r="C63" s="62"/>
      <c r="D63" s="62"/>
      <c r="E63" s="62"/>
      <c r="F63" s="62"/>
      <c r="G63" s="62"/>
      <c r="H63" s="62"/>
      <c r="I63" s="62"/>
      <c r="J63" s="62"/>
      <c r="K63" s="62"/>
      <c r="L63" s="62"/>
      <c r="M63" s="62"/>
      <c r="N63" s="62"/>
      <c r="O63" s="62"/>
      <c r="P63" s="62"/>
      <c r="Q63" s="62"/>
      <c r="R63" s="62"/>
    </row>
    <row r="64" customFormat="false" ht="13.8" hidden="false" customHeight="false" outlineLevel="0" collapsed="false">
      <c r="B64" s="62"/>
      <c r="C64" s="62"/>
      <c r="D64" s="62"/>
      <c r="E64" s="62"/>
      <c r="F64" s="62"/>
      <c r="G64" s="62"/>
      <c r="H64" s="62"/>
      <c r="I64" s="62"/>
      <c r="J64" s="62"/>
      <c r="K64" s="62"/>
      <c r="L64" s="62"/>
      <c r="M64" s="62"/>
      <c r="N64" s="62"/>
      <c r="O64" s="62"/>
      <c r="P64" s="62"/>
      <c r="Q64" s="62"/>
      <c r="R64" s="62"/>
    </row>
    <row r="65" customFormat="false" ht="13.8" hidden="false" customHeight="false" outlineLevel="0" collapsed="false">
      <c r="B65" s="62"/>
      <c r="C65" s="62"/>
      <c r="D65" s="62"/>
      <c r="E65" s="62"/>
      <c r="F65" s="62"/>
      <c r="G65" s="62"/>
      <c r="H65" s="62"/>
      <c r="I65" s="62"/>
      <c r="J65" s="62"/>
      <c r="K65" s="62"/>
      <c r="L65" s="62"/>
      <c r="M65" s="62"/>
      <c r="N65" s="62"/>
      <c r="O65" s="62"/>
      <c r="P65" s="62"/>
      <c r="Q65" s="62"/>
      <c r="R65" s="62"/>
    </row>
    <row r="66" customFormat="false" ht="13.8" hidden="false" customHeight="false" outlineLevel="0" collapsed="false">
      <c r="B66" s="62"/>
      <c r="C66" s="62"/>
      <c r="D66" s="62"/>
      <c r="E66" s="62"/>
      <c r="F66" s="62"/>
      <c r="G66" s="62"/>
      <c r="H66" s="62"/>
      <c r="I66" s="62"/>
      <c r="J66" s="62"/>
      <c r="K66" s="62"/>
      <c r="L66" s="62"/>
      <c r="M66" s="62"/>
      <c r="N66" s="62"/>
      <c r="O66" s="62"/>
      <c r="P66" s="62"/>
      <c r="Q66" s="62"/>
      <c r="R66" s="62"/>
    </row>
    <row r="67" customFormat="false" ht="13.8" hidden="false" customHeight="false" outlineLevel="0" collapsed="false">
      <c r="B67" s="62"/>
      <c r="C67" s="62"/>
      <c r="D67" s="62"/>
      <c r="E67" s="62"/>
      <c r="F67" s="62"/>
      <c r="G67" s="62"/>
      <c r="H67" s="62"/>
      <c r="I67" s="62"/>
      <c r="J67" s="62"/>
      <c r="K67" s="62"/>
      <c r="L67" s="62"/>
      <c r="M67" s="62"/>
      <c r="N67" s="62"/>
      <c r="O67" s="62"/>
      <c r="P67" s="62"/>
      <c r="Q67" s="62"/>
      <c r="R67" s="62"/>
    </row>
    <row r="68" customFormat="false" ht="13.8" hidden="false" customHeight="false" outlineLevel="0" collapsed="false">
      <c r="B68" s="62"/>
      <c r="C68" s="62"/>
      <c r="D68" s="62"/>
      <c r="E68" s="62"/>
      <c r="F68" s="62"/>
      <c r="G68" s="62"/>
      <c r="H68" s="62"/>
      <c r="I68" s="62"/>
      <c r="J68" s="62"/>
      <c r="K68" s="62"/>
      <c r="L68" s="62"/>
      <c r="M68" s="62"/>
      <c r="N68" s="62"/>
      <c r="O68" s="62"/>
      <c r="P68" s="62"/>
      <c r="Q68" s="62"/>
      <c r="R68" s="62"/>
    </row>
    <row r="69" customFormat="false" ht="13.8" hidden="false" customHeight="false" outlineLevel="0" collapsed="false">
      <c r="B69" s="62"/>
      <c r="C69" s="62"/>
      <c r="D69" s="62"/>
      <c r="E69" s="62"/>
      <c r="F69" s="62"/>
      <c r="G69" s="62"/>
      <c r="H69" s="62"/>
      <c r="I69" s="62"/>
      <c r="J69" s="62"/>
      <c r="K69" s="62"/>
      <c r="L69" s="62"/>
      <c r="M69" s="62"/>
      <c r="N69" s="62"/>
      <c r="O69" s="62"/>
      <c r="P69" s="62"/>
      <c r="Q69" s="62"/>
      <c r="R69" s="62"/>
    </row>
    <row r="70" customFormat="false" ht="13.8" hidden="false" customHeight="false" outlineLevel="0" collapsed="false">
      <c r="B70" s="62"/>
      <c r="C70" s="62"/>
      <c r="D70" s="62"/>
      <c r="E70" s="62"/>
      <c r="F70" s="62"/>
      <c r="G70" s="62"/>
      <c r="H70" s="62"/>
      <c r="I70" s="62"/>
      <c r="J70" s="62"/>
      <c r="K70" s="62"/>
      <c r="L70" s="62"/>
      <c r="M70" s="62"/>
      <c r="N70" s="62"/>
      <c r="O70" s="62"/>
      <c r="P70" s="62"/>
      <c r="Q70" s="62"/>
      <c r="R70" s="62"/>
    </row>
    <row r="71" customFormat="false" ht="13.8" hidden="false" customHeight="false" outlineLevel="0" collapsed="false">
      <c r="B71" s="62"/>
      <c r="C71" s="62"/>
      <c r="D71" s="62"/>
      <c r="E71" s="62"/>
      <c r="F71" s="62"/>
      <c r="G71" s="62"/>
      <c r="H71" s="62"/>
      <c r="I71" s="62"/>
      <c r="J71" s="62"/>
      <c r="K71" s="62"/>
      <c r="L71" s="62"/>
      <c r="M71" s="62"/>
      <c r="N71" s="62"/>
      <c r="O71" s="62"/>
      <c r="P71" s="62"/>
      <c r="Q71" s="62"/>
      <c r="R71" s="62"/>
    </row>
    <row r="72" customFormat="false" ht="13.8" hidden="false" customHeight="false" outlineLevel="0" collapsed="false">
      <c r="B72" s="62"/>
      <c r="C72" s="62"/>
      <c r="D72" s="62"/>
      <c r="E72" s="62"/>
      <c r="F72" s="62"/>
      <c r="G72" s="62"/>
      <c r="H72" s="62"/>
      <c r="I72" s="62"/>
      <c r="J72" s="62"/>
      <c r="K72" s="62"/>
      <c r="L72" s="62"/>
      <c r="M72" s="62"/>
      <c r="N72" s="62"/>
      <c r="O72" s="62"/>
      <c r="P72" s="62"/>
      <c r="Q72" s="62"/>
      <c r="R72" s="62"/>
    </row>
    <row r="73" customFormat="false" ht="13.8" hidden="false" customHeight="false" outlineLevel="0" collapsed="false">
      <c r="B73" s="62"/>
      <c r="C73" s="62"/>
      <c r="D73" s="62"/>
      <c r="E73" s="62"/>
      <c r="F73" s="62"/>
      <c r="G73" s="62"/>
      <c r="H73" s="62"/>
      <c r="I73" s="62"/>
      <c r="J73" s="62"/>
      <c r="K73" s="62"/>
      <c r="L73" s="62"/>
      <c r="M73" s="62"/>
      <c r="N73" s="62"/>
      <c r="O73" s="62"/>
      <c r="P73" s="62"/>
      <c r="Q73" s="62"/>
      <c r="R73" s="62"/>
    </row>
    <row r="74" customFormat="false" ht="13.8" hidden="false" customHeight="false" outlineLevel="0" collapsed="false">
      <c r="B74" s="62"/>
      <c r="C74" s="62"/>
      <c r="D74" s="62"/>
      <c r="E74" s="62"/>
      <c r="F74" s="62"/>
      <c r="G74" s="62"/>
      <c r="H74" s="62"/>
      <c r="I74" s="62"/>
      <c r="J74" s="62"/>
      <c r="K74" s="62"/>
      <c r="L74" s="62"/>
      <c r="M74" s="62"/>
      <c r="N74" s="62"/>
      <c r="O74" s="62"/>
      <c r="P74" s="62"/>
      <c r="Q74" s="62"/>
      <c r="R74" s="62"/>
    </row>
    <row r="75" customFormat="false" ht="13.8" hidden="false" customHeight="false" outlineLevel="0" collapsed="false">
      <c r="B75" s="62"/>
      <c r="C75" s="62"/>
      <c r="D75" s="62"/>
      <c r="E75" s="62"/>
      <c r="F75" s="62"/>
      <c r="G75" s="62"/>
      <c r="H75" s="62"/>
      <c r="I75" s="62"/>
      <c r="J75" s="62"/>
      <c r="K75" s="62"/>
      <c r="L75" s="62"/>
      <c r="M75" s="62"/>
      <c r="N75" s="62"/>
      <c r="O75" s="62"/>
      <c r="P75" s="62"/>
      <c r="Q75" s="62"/>
      <c r="R75" s="62"/>
    </row>
  </sheetData>
  <autoFilter ref="B5:D49"/>
  <mergeCells count="42">
    <mergeCell ref="I3:K3"/>
    <mergeCell ref="O3:Q3"/>
    <mergeCell ref="B6:B7"/>
    <mergeCell ref="C6:C7"/>
    <mergeCell ref="B8:B9"/>
    <mergeCell ref="C8:C9"/>
    <mergeCell ref="B10:B11"/>
    <mergeCell ref="C10:C11"/>
    <mergeCell ref="B12:B13"/>
    <mergeCell ref="C12:C13"/>
    <mergeCell ref="B14:B15"/>
    <mergeCell ref="C14:C15"/>
    <mergeCell ref="B16:B17"/>
    <mergeCell ref="C16:C17"/>
    <mergeCell ref="B18:B19"/>
    <mergeCell ref="C18:C19"/>
    <mergeCell ref="B20:B21"/>
    <mergeCell ref="C20:C21"/>
    <mergeCell ref="B22:B23"/>
    <mergeCell ref="C22:C23"/>
    <mergeCell ref="B24:B25"/>
    <mergeCell ref="C24:C25"/>
    <mergeCell ref="B26:B27"/>
    <mergeCell ref="C26:C27"/>
    <mergeCell ref="B28:B29"/>
    <mergeCell ref="C28:C29"/>
    <mergeCell ref="B30:B31"/>
    <mergeCell ref="C30:C31"/>
    <mergeCell ref="B32:B33"/>
    <mergeCell ref="C32:C33"/>
    <mergeCell ref="B34:B35"/>
    <mergeCell ref="C34:C35"/>
    <mergeCell ref="B36:B37"/>
    <mergeCell ref="C36:C37"/>
    <mergeCell ref="B38:B39"/>
    <mergeCell ref="C38:C39"/>
    <mergeCell ref="B40:B41"/>
    <mergeCell ref="C40:C41"/>
    <mergeCell ref="B42:B43"/>
    <mergeCell ref="C42:C43"/>
    <mergeCell ref="B44:B45"/>
    <mergeCell ref="C44:C45"/>
  </mergeCells>
  <conditionalFormatting sqref="E13:Q13 E15:Q15 E17:Q17 E19:Q19 E21:Q21 E23:Q23 E25:Q25 E27:Q27 E29:Q29 E31:Q31 E33:Q33 E35:Q35 E37:Q37 E39:Q39 E41:Q41 E43:Q43 E45:Q45">
    <cfRule type="cellIs" priority="2" operator="lessThan" aboveAverage="0" equalAverage="0" bottom="0" percent="0" rank="0" text="" dxfId="6">
      <formula>E12</formula>
    </cfRule>
    <cfRule type="cellIs" priority="3" operator="greaterThan" aboveAverage="0" equalAverage="0" bottom="0" percent="0" rank="0" text="" dxfId="7">
      <formula>E12</formula>
    </cfRule>
  </conditionalFormatting>
  <conditionalFormatting sqref="E11:Q11">
    <cfRule type="cellIs" priority="4" operator="lessThan" aboveAverage="0" equalAverage="0" bottom="0" percent="0" rank="0" text="" dxfId="8">
      <formula>E10</formula>
    </cfRule>
    <cfRule type="cellIs" priority="5" operator="greaterThan" aboveAverage="0" equalAverage="0" bottom="0" percent="0" rank="0" text="" dxfId="9">
      <formula>E10</formula>
    </cfRule>
  </conditionalFormatting>
  <conditionalFormatting sqref="E9:Q9">
    <cfRule type="cellIs" priority="6" operator="lessThan" aboveAverage="0" equalAverage="0" bottom="0" percent="0" rank="0" text="" dxfId="10">
      <formula>E$8</formula>
    </cfRule>
    <cfRule type="cellIs" priority="7" operator="greaterThan" aboveAverage="0" equalAverage="0" bottom="0" percent="0" rank="0" text="" dxfId="11">
      <formula>E$8</formula>
    </cfRule>
  </conditionalFormatting>
  <conditionalFormatting sqref="E7:Q7">
    <cfRule type="cellIs" priority="8" operator="lessThan" aboveAverage="0" equalAverage="0" bottom="0" percent="0" rank="0" text="" dxfId="12">
      <formula>E6</formula>
    </cfRule>
    <cfRule type="cellIs" priority="9" operator="greaterThan" aboveAverage="0" equalAverage="0" bottom="0" percent="0" rank="0" text="" dxfId="13">
      <formula>E6</formula>
    </cfRule>
  </conditionalFormatting>
  <conditionalFormatting sqref="F47:Q47">
    <cfRule type="containsErrors" priority="10" aboveAverage="0" equalAverage="0" bottom="0" percent="0" rank="0" text="" dxfId="14">
      <formula>ISERROR(F47)</formula>
    </cfRule>
  </conditionalFormatting>
  <conditionalFormatting sqref="E49:Q49">
    <cfRule type="containsErrors" priority="11" aboveAverage="0" equalAverage="0" bottom="0" percent="0" rank="0" text="" dxfId="15">
      <formula>ISERROR(E49)</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31" activeCellId="0" sqref="A31"/>
    </sheetView>
  </sheetViews>
  <sheetFormatPr defaultColWidth="8.6796875" defaultRowHeight="14.25" customHeight="false"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I7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88671875" defaultRowHeight="13.5" customHeight="false" zeroHeight="false" outlineLevelRow="0" outlineLevelCol="0"/>
  <cols>
    <col collapsed="false" customWidth="true" hidden="false" outlineLevel="0" max="1" min="1" style="1" width="1.67"/>
    <col collapsed="false" customWidth="true" hidden="false" outlineLevel="0" max="2" min="2" style="1" width="4.88"/>
    <col collapsed="false" customWidth="true" hidden="false" outlineLevel="0" max="3" min="3" style="1" width="21.67"/>
    <col collapsed="false" customWidth="true" hidden="false" outlineLevel="0" max="4" min="4" style="1" width="12.44"/>
    <col collapsed="false" customWidth="true" hidden="false" outlineLevel="0" max="57" min="5" style="1" width="12.88"/>
    <col collapsed="false" customWidth="true" hidden="false" outlineLevel="0" max="58" min="58" style="1" width="14.44"/>
    <col collapsed="false" customWidth="true" hidden="false" outlineLevel="0" max="59" min="59" style="1" width="14.21"/>
    <col collapsed="false" customWidth="true" hidden="false" outlineLevel="0" max="60" min="60" style="1" width="2"/>
    <col collapsed="false" customWidth="false" hidden="false" outlineLevel="0" max="16384" min="61" style="1" width="8.88"/>
  </cols>
  <sheetData>
    <row r="1" customFormat="false" ht="9" hidden="false" customHeight="true" outlineLevel="0" collapsed="false">
      <c r="B1" s="2"/>
      <c r="C1" s="2"/>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4"/>
    </row>
    <row r="2" customFormat="false" ht="24.75" hidden="false" customHeight="true" outlineLevel="0" collapsed="false">
      <c r="B2" s="5"/>
      <c r="C2" s="5"/>
      <c r="D2" s="6"/>
      <c r="E2" s="6"/>
      <c r="F2" s="6"/>
      <c r="G2" s="6"/>
      <c r="H2" s="6"/>
      <c r="I2" s="7" t="s">
        <v>19</v>
      </c>
      <c r="J2" s="7"/>
      <c r="K2" s="7"/>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4"/>
    </row>
    <row r="3" customFormat="false" ht="18.75" hidden="false" customHeight="true" outlineLevel="0" collapsed="false">
      <c r="B3" s="2"/>
      <c r="C3" s="8" t="s">
        <v>1</v>
      </c>
      <c r="D3" s="63" t="n">
        <v>45107</v>
      </c>
      <c r="E3" s="3"/>
      <c r="F3" s="10"/>
      <c r="G3" s="3"/>
      <c r="H3" s="3"/>
      <c r="I3" s="11" t="s">
        <v>2</v>
      </c>
      <c r="J3" s="11"/>
      <c r="K3" s="11"/>
      <c r="L3" s="3"/>
      <c r="M3" s="3"/>
      <c r="N3" s="8" t="s">
        <v>3</v>
      </c>
      <c r="O3" s="64"/>
      <c r="P3" s="65"/>
      <c r="Q3" s="65"/>
      <c r="R3" s="66"/>
      <c r="S3" s="67"/>
      <c r="T3" s="67"/>
      <c r="U3" s="67"/>
      <c r="V3" s="67"/>
      <c r="W3" s="67"/>
      <c r="X3" s="67"/>
      <c r="Y3" s="67"/>
      <c r="Z3" s="67"/>
      <c r="AA3" s="67"/>
      <c r="AB3" s="67"/>
      <c r="AC3" s="67"/>
      <c r="AD3" s="67"/>
      <c r="AE3" s="67"/>
      <c r="AF3" s="67"/>
      <c r="AG3" s="67"/>
      <c r="AH3" s="67"/>
      <c r="AI3" s="67"/>
      <c r="AJ3" s="67"/>
      <c r="AK3" s="67"/>
      <c r="AL3" s="67"/>
      <c r="AM3" s="67"/>
      <c r="AN3" s="67"/>
      <c r="AO3" s="67"/>
      <c r="AP3" s="67"/>
      <c r="AQ3" s="67"/>
      <c r="AR3" s="67"/>
      <c r="AS3" s="67"/>
      <c r="AT3" s="67"/>
      <c r="AU3" s="67"/>
      <c r="AV3" s="67"/>
      <c r="AW3" s="67"/>
      <c r="AX3" s="67"/>
      <c r="AY3" s="67"/>
      <c r="AZ3" s="67"/>
      <c r="BA3" s="67"/>
      <c r="BB3" s="67"/>
      <c r="BC3" s="67"/>
      <c r="BD3" s="67"/>
      <c r="BE3" s="67"/>
      <c r="BF3" s="67"/>
      <c r="BG3" s="3"/>
      <c r="BH3" s="4"/>
      <c r="BI3" s="13" t="s">
        <v>4</v>
      </c>
    </row>
    <row r="4" customFormat="false" ht="9" hidden="false" customHeight="true" outlineLevel="0" collapsed="false">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row>
    <row r="5" customFormat="false" ht="19.5" hidden="false" customHeight="true" outlineLevel="0" collapsed="false">
      <c r="B5" s="14" t="s">
        <v>5</v>
      </c>
      <c r="C5" s="15" t="s">
        <v>6</v>
      </c>
      <c r="D5" s="15" t="s">
        <v>7</v>
      </c>
      <c r="E5" s="68" t="n">
        <f aca="false">D3</f>
        <v>45107</v>
      </c>
      <c r="F5" s="68" t="n">
        <f aca="false">E5+7</f>
        <v>45114</v>
      </c>
      <c r="G5" s="68" t="n">
        <f aca="false">F5+7</f>
        <v>45121</v>
      </c>
      <c r="H5" s="68" t="n">
        <f aca="false">G5+7</f>
        <v>45128</v>
      </c>
      <c r="I5" s="68" t="n">
        <f aca="false">H5+7</f>
        <v>45135</v>
      </c>
      <c r="J5" s="68" t="n">
        <f aca="false">I5+7</f>
        <v>45142</v>
      </c>
      <c r="K5" s="68" t="n">
        <f aca="false">J5+7</f>
        <v>45149</v>
      </c>
      <c r="L5" s="68" t="n">
        <f aca="false">K5+7</f>
        <v>45156</v>
      </c>
      <c r="M5" s="68" t="n">
        <f aca="false">L5+7</f>
        <v>45163</v>
      </c>
      <c r="N5" s="68" t="n">
        <f aca="false">M5+7</f>
        <v>45170</v>
      </c>
      <c r="O5" s="68" t="n">
        <f aca="false">N5+7</f>
        <v>45177</v>
      </c>
      <c r="P5" s="68" t="n">
        <f aca="false">O5+7</f>
        <v>45184</v>
      </c>
      <c r="Q5" s="68" t="n">
        <f aca="false">P5+7</f>
        <v>45191</v>
      </c>
      <c r="R5" s="68" t="n">
        <f aca="false">Q5+7</f>
        <v>45198</v>
      </c>
      <c r="S5" s="68" t="n">
        <f aca="false">R5+7</f>
        <v>45205</v>
      </c>
      <c r="T5" s="68" t="n">
        <f aca="false">S5+7</f>
        <v>45212</v>
      </c>
      <c r="U5" s="68" t="n">
        <f aca="false">T5+7</f>
        <v>45219</v>
      </c>
      <c r="V5" s="68" t="n">
        <f aca="false">U5+7</f>
        <v>45226</v>
      </c>
      <c r="W5" s="68" t="n">
        <f aca="false">V5+7</f>
        <v>45233</v>
      </c>
      <c r="X5" s="68" t="n">
        <f aca="false">W5+7</f>
        <v>45240</v>
      </c>
      <c r="Y5" s="68" t="n">
        <f aca="false">X5+7</f>
        <v>45247</v>
      </c>
      <c r="Z5" s="68" t="n">
        <f aca="false">Y5+7</f>
        <v>45254</v>
      </c>
      <c r="AA5" s="68" t="n">
        <f aca="false">Z5+7</f>
        <v>45261</v>
      </c>
      <c r="AB5" s="68" t="n">
        <f aca="false">AA5+7</f>
        <v>45268</v>
      </c>
      <c r="AC5" s="68" t="n">
        <f aca="false">AB5+7</f>
        <v>45275</v>
      </c>
      <c r="AD5" s="68" t="n">
        <f aca="false">AC5+7</f>
        <v>45282</v>
      </c>
      <c r="AE5" s="68" t="n">
        <f aca="false">AD5+7</f>
        <v>45289</v>
      </c>
      <c r="AF5" s="68" t="n">
        <f aca="false">AE5+7</f>
        <v>45296</v>
      </c>
      <c r="AG5" s="68" t="n">
        <f aca="false">AF5+7</f>
        <v>45303</v>
      </c>
      <c r="AH5" s="68" t="n">
        <f aca="false">AG5+7</f>
        <v>45310</v>
      </c>
      <c r="AI5" s="68" t="n">
        <f aca="false">AH5+7</f>
        <v>45317</v>
      </c>
      <c r="AJ5" s="68" t="n">
        <f aca="false">AI5+7</f>
        <v>45324</v>
      </c>
      <c r="AK5" s="68" t="n">
        <f aca="false">AJ5+7</f>
        <v>45331</v>
      </c>
      <c r="AL5" s="68" t="n">
        <f aca="false">AK5+7</f>
        <v>45338</v>
      </c>
      <c r="AM5" s="68" t="n">
        <f aca="false">AL5+7</f>
        <v>45345</v>
      </c>
      <c r="AN5" s="68" t="n">
        <f aca="false">AM5+7</f>
        <v>45352</v>
      </c>
      <c r="AO5" s="68" t="n">
        <f aca="false">AN5+7</f>
        <v>45359</v>
      </c>
      <c r="AP5" s="68" t="n">
        <f aca="false">AO5+7</f>
        <v>45366</v>
      </c>
      <c r="AQ5" s="68" t="n">
        <f aca="false">AP5+7</f>
        <v>45373</v>
      </c>
      <c r="AR5" s="68" t="n">
        <f aca="false">AQ5+7</f>
        <v>45380</v>
      </c>
      <c r="AS5" s="68" t="n">
        <f aca="false">AR5+7</f>
        <v>45387</v>
      </c>
      <c r="AT5" s="68" t="n">
        <f aca="false">AS5+7</f>
        <v>45394</v>
      </c>
      <c r="AU5" s="68" t="n">
        <f aca="false">AT5+7</f>
        <v>45401</v>
      </c>
      <c r="AV5" s="68" t="n">
        <f aca="false">AU5+7</f>
        <v>45408</v>
      </c>
      <c r="AW5" s="68" t="n">
        <f aca="false">AV5+7</f>
        <v>45415</v>
      </c>
      <c r="AX5" s="68" t="n">
        <f aca="false">AW5+7</f>
        <v>45422</v>
      </c>
      <c r="AY5" s="68" t="n">
        <f aca="false">AX5+7</f>
        <v>45429</v>
      </c>
      <c r="AZ5" s="68" t="n">
        <f aca="false">AY5+7</f>
        <v>45436</v>
      </c>
      <c r="BA5" s="68" t="n">
        <f aca="false">AZ5+7</f>
        <v>45443</v>
      </c>
      <c r="BB5" s="68" t="n">
        <f aca="false">BA5+7</f>
        <v>45450</v>
      </c>
      <c r="BC5" s="68" t="n">
        <f aca="false">BB5+7</f>
        <v>45457</v>
      </c>
      <c r="BD5" s="68" t="n">
        <f aca="false">BC5+7</f>
        <v>45464</v>
      </c>
      <c r="BE5" s="68" t="n">
        <f aca="false">BD5+7</f>
        <v>45471</v>
      </c>
      <c r="BF5" s="68" t="n">
        <f aca="false">BE5+7</f>
        <v>45478</v>
      </c>
      <c r="BG5" s="17" t="s">
        <v>8</v>
      </c>
      <c r="BI5" s="13" t="s">
        <v>9</v>
      </c>
    </row>
    <row r="6" customFormat="false" ht="19.5" hidden="false" customHeight="true" outlineLevel="0" collapsed="false">
      <c r="B6" s="18" t="n">
        <v>1</v>
      </c>
      <c r="C6" s="19" t="s">
        <v>10</v>
      </c>
      <c r="D6" s="20" t="s">
        <v>11</v>
      </c>
      <c r="E6" s="21" t="n">
        <v>5</v>
      </c>
      <c r="F6" s="22" t="n">
        <v>5</v>
      </c>
      <c r="G6" s="22" t="n">
        <v>14</v>
      </c>
      <c r="H6" s="22" t="n">
        <v>3</v>
      </c>
      <c r="I6" s="22"/>
      <c r="J6" s="22"/>
      <c r="K6" s="22"/>
      <c r="L6" s="22"/>
      <c r="M6" s="22"/>
      <c r="N6" s="22"/>
      <c r="O6" s="22"/>
      <c r="P6" s="22"/>
      <c r="Q6" s="69"/>
      <c r="R6" s="69"/>
      <c r="S6" s="69"/>
      <c r="T6" s="69"/>
      <c r="U6" s="69"/>
      <c r="V6" s="69"/>
      <c r="W6" s="69"/>
      <c r="X6" s="69"/>
      <c r="Y6" s="69"/>
      <c r="Z6" s="69"/>
      <c r="AA6" s="69"/>
      <c r="AB6" s="69"/>
      <c r="AC6" s="69"/>
      <c r="AD6" s="69"/>
      <c r="AE6" s="69"/>
      <c r="AF6" s="69"/>
      <c r="AG6" s="69"/>
      <c r="AH6" s="69"/>
      <c r="AI6" s="69"/>
      <c r="AJ6" s="69"/>
      <c r="AK6" s="69"/>
      <c r="AL6" s="69"/>
      <c r="AM6" s="69"/>
      <c r="AN6" s="69"/>
      <c r="AO6" s="69"/>
      <c r="AP6" s="69"/>
      <c r="AQ6" s="69"/>
      <c r="AR6" s="69"/>
      <c r="AS6" s="69"/>
      <c r="AT6" s="69"/>
      <c r="AU6" s="69"/>
      <c r="AV6" s="69"/>
      <c r="AW6" s="69"/>
      <c r="AX6" s="69"/>
      <c r="AY6" s="69"/>
      <c r="AZ6" s="69"/>
      <c r="BA6" s="69"/>
      <c r="BB6" s="69"/>
      <c r="BC6" s="69"/>
      <c r="BD6" s="69"/>
      <c r="BE6" s="69"/>
      <c r="BF6" s="23"/>
      <c r="BG6" s="24" t="n">
        <f aca="false">SUM(E6:BF6)</f>
        <v>27</v>
      </c>
    </row>
    <row r="7" customFormat="false" ht="19.5" hidden="false" customHeight="true" outlineLevel="0" collapsed="false">
      <c r="B7" s="18"/>
      <c r="C7" s="19"/>
      <c r="D7" s="25" t="s">
        <v>12</v>
      </c>
      <c r="E7" s="26" t="n">
        <v>5</v>
      </c>
      <c r="F7" s="27" t="n">
        <v>7</v>
      </c>
      <c r="G7" s="27" t="n">
        <v>16</v>
      </c>
      <c r="H7" s="27" t="n">
        <v>2</v>
      </c>
      <c r="I7" s="27"/>
      <c r="J7" s="27"/>
      <c r="K7" s="27"/>
      <c r="L7" s="27"/>
      <c r="M7" s="27"/>
      <c r="N7" s="27"/>
      <c r="O7" s="27"/>
      <c r="P7" s="27"/>
      <c r="Q7" s="70"/>
      <c r="R7" s="70"/>
      <c r="S7" s="70"/>
      <c r="T7" s="70"/>
      <c r="U7" s="70"/>
      <c r="V7" s="70"/>
      <c r="W7" s="70"/>
      <c r="X7" s="70"/>
      <c r="Y7" s="70"/>
      <c r="Z7" s="70"/>
      <c r="AA7" s="70"/>
      <c r="AB7" s="70"/>
      <c r="AC7" s="70"/>
      <c r="AD7" s="70"/>
      <c r="AE7" s="70"/>
      <c r="AF7" s="70"/>
      <c r="AG7" s="70"/>
      <c r="AH7" s="70"/>
      <c r="AI7" s="70"/>
      <c r="AJ7" s="70"/>
      <c r="AK7" s="70"/>
      <c r="AL7" s="70"/>
      <c r="AM7" s="70"/>
      <c r="AN7" s="70"/>
      <c r="AO7" s="70"/>
      <c r="AP7" s="70"/>
      <c r="AQ7" s="70"/>
      <c r="AR7" s="70"/>
      <c r="AS7" s="70"/>
      <c r="AT7" s="70"/>
      <c r="AU7" s="70"/>
      <c r="AV7" s="70"/>
      <c r="AW7" s="70"/>
      <c r="AX7" s="70"/>
      <c r="AY7" s="70"/>
      <c r="AZ7" s="70"/>
      <c r="BA7" s="70"/>
      <c r="BB7" s="70"/>
      <c r="BC7" s="70"/>
      <c r="BD7" s="70"/>
      <c r="BE7" s="70"/>
      <c r="BF7" s="28"/>
      <c r="BG7" s="29" t="n">
        <f aca="false">SUM(E7:BF7)</f>
        <v>30</v>
      </c>
    </row>
    <row r="8" customFormat="false" ht="19.5" hidden="false" customHeight="true" outlineLevel="0" collapsed="false">
      <c r="B8" s="30" t="n">
        <v>2</v>
      </c>
      <c r="C8" s="31" t="s">
        <v>10</v>
      </c>
      <c r="D8" s="32" t="s">
        <v>11</v>
      </c>
      <c r="E8" s="33" t="n">
        <v>3</v>
      </c>
      <c r="F8" s="34" t="n">
        <v>1</v>
      </c>
      <c r="G8" s="34" t="n">
        <v>4</v>
      </c>
      <c r="H8" s="34"/>
      <c r="I8" s="34"/>
      <c r="J8" s="34"/>
      <c r="K8" s="34"/>
      <c r="L8" s="34"/>
      <c r="M8" s="34"/>
      <c r="N8" s="34"/>
      <c r="O8" s="34"/>
      <c r="P8" s="34"/>
      <c r="Q8" s="71"/>
      <c r="R8" s="71"/>
      <c r="S8" s="71"/>
      <c r="T8" s="71"/>
      <c r="U8" s="71"/>
      <c r="V8" s="71"/>
      <c r="W8" s="71"/>
      <c r="X8" s="71"/>
      <c r="Y8" s="71"/>
      <c r="Z8" s="71"/>
      <c r="AA8" s="71"/>
      <c r="AB8" s="71"/>
      <c r="AC8" s="71"/>
      <c r="AD8" s="71"/>
      <c r="AE8" s="71"/>
      <c r="AF8" s="71"/>
      <c r="AG8" s="71"/>
      <c r="AH8" s="71"/>
      <c r="AI8" s="71"/>
      <c r="AJ8" s="71"/>
      <c r="AK8" s="71"/>
      <c r="AL8" s="71"/>
      <c r="AM8" s="71"/>
      <c r="AN8" s="71"/>
      <c r="AO8" s="71"/>
      <c r="AP8" s="71"/>
      <c r="AQ8" s="71"/>
      <c r="AR8" s="71"/>
      <c r="AS8" s="71"/>
      <c r="AT8" s="71"/>
      <c r="AU8" s="71"/>
      <c r="AV8" s="71"/>
      <c r="AW8" s="71"/>
      <c r="AX8" s="71"/>
      <c r="AY8" s="71"/>
      <c r="AZ8" s="71"/>
      <c r="BA8" s="71"/>
      <c r="BB8" s="71"/>
      <c r="BC8" s="71"/>
      <c r="BD8" s="71"/>
      <c r="BE8" s="71"/>
      <c r="BF8" s="35"/>
      <c r="BG8" s="36" t="n">
        <f aca="false">SUM(E8:BF8)</f>
        <v>8</v>
      </c>
    </row>
    <row r="9" customFormat="false" ht="19.5" hidden="false" customHeight="true" outlineLevel="0" collapsed="false">
      <c r="B9" s="30"/>
      <c r="C9" s="31"/>
      <c r="D9" s="25" t="s">
        <v>12</v>
      </c>
      <c r="E9" s="26" t="n">
        <v>3</v>
      </c>
      <c r="F9" s="27" t="n">
        <v>4</v>
      </c>
      <c r="G9" s="27" t="n">
        <v>4</v>
      </c>
      <c r="H9" s="27"/>
      <c r="I9" s="27"/>
      <c r="J9" s="27"/>
      <c r="K9" s="27"/>
      <c r="L9" s="27"/>
      <c r="M9" s="27"/>
      <c r="N9" s="27"/>
      <c r="O9" s="27"/>
      <c r="P9" s="27"/>
      <c r="Q9" s="70"/>
      <c r="R9" s="70"/>
      <c r="S9" s="70"/>
      <c r="T9" s="70"/>
      <c r="U9" s="70"/>
      <c r="V9" s="70"/>
      <c r="W9" s="70"/>
      <c r="X9" s="70"/>
      <c r="Y9" s="70"/>
      <c r="Z9" s="70"/>
      <c r="AA9" s="70"/>
      <c r="AB9" s="70"/>
      <c r="AC9" s="70"/>
      <c r="AD9" s="70"/>
      <c r="AE9" s="70"/>
      <c r="AF9" s="70"/>
      <c r="AG9" s="70"/>
      <c r="AH9" s="70"/>
      <c r="AI9" s="70"/>
      <c r="AJ9" s="70"/>
      <c r="AK9" s="70"/>
      <c r="AL9" s="70"/>
      <c r="AM9" s="70"/>
      <c r="AN9" s="70"/>
      <c r="AO9" s="70"/>
      <c r="AP9" s="70"/>
      <c r="AQ9" s="70"/>
      <c r="AR9" s="70"/>
      <c r="AS9" s="70"/>
      <c r="AT9" s="70"/>
      <c r="AU9" s="70"/>
      <c r="AV9" s="70"/>
      <c r="AW9" s="70"/>
      <c r="AX9" s="70"/>
      <c r="AY9" s="70"/>
      <c r="AZ9" s="70"/>
      <c r="BA9" s="70"/>
      <c r="BB9" s="70"/>
      <c r="BC9" s="70"/>
      <c r="BD9" s="70"/>
      <c r="BE9" s="70"/>
      <c r="BF9" s="28"/>
      <c r="BG9" s="29" t="n">
        <f aca="false">SUM(E9:BF9)</f>
        <v>11</v>
      </c>
    </row>
    <row r="10" customFormat="false" ht="19.5" hidden="false" customHeight="true" outlineLevel="0" collapsed="false">
      <c r="B10" s="30" t="n">
        <v>3</v>
      </c>
      <c r="C10" s="31" t="s">
        <v>10</v>
      </c>
      <c r="D10" s="32" t="s">
        <v>11</v>
      </c>
      <c r="E10" s="33" t="n">
        <v>3</v>
      </c>
      <c r="F10" s="34" t="n">
        <v>2</v>
      </c>
      <c r="G10" s="34" t="n">
        <v>2</v>
      </c>
      <c r="H10" s="34" t="n">
        <v>1</v>
      </c>
      <c r="I10" s="34" t="n">
        <v>10</v>
      </c>
      <c r="J10" s="34"/>
      <c r="K10" s="34"/>
      <c r="L10" s="34"/>
      <c r="M10" s="34"/>
      <c r="N10" s="34"/>
      <c r="O10" s="34"/>
      <c r="P10" s="34"/>
      <c r="Q10" s="71"/>
      <c r="R10" s="71"/>
      <c r="S10" s="71"/>
      <c r="T10" s="71"/>
      <c r="U10" s="71"/>
      <c r="V10" s="71"/>
      <c r="W10" s="71"/>
      <c r="X10" s="71"/>
      <c r="Y10" s="71"/>
      <c r="Z10" s="71"/>
      <c r="AA10" s="71"/>
      <c r="AB10" s="71"/>
      <c r="AC10" s="71"/>
      <c r="AD10" s="71"/>
      <c r="AE10" s="71"/>
      <c r="AF10" s="71"/>
      <c r="AG10" s="71"/>
      <c r="AH10" s="71"/>
      <c r="AI10" s="71"/>
      <c r="AJ10" s="71"/>
      <c r="AK10" s="71"/>
      <c r="AL10" s="71"/>
      <c r="AM10" s="71"/>
      <c r="AN10" s="71"/>
      <c r="AO10" s="71"/>
      <c r="AP10" s="71"/>
      <c r="AQ10" s="71"/>
      <c r="AR10" s="71"/>
      <c r="AS10" s="71"/>
      <c r="AT10" s="71"/>
      <c r="AU10" s="71"/>
      <c r="AV10" s="71"/>
      <c r="AW10" s="71"/>
      <c r="AX10" s="71"/>
      <c r="AY10" s="71"/>
      <c r="AZ10" s="71"/>
      <c r="BA10" s="71"/>
      <c r="BB10" s="71"/>
      <c r="BC10" s="71"/>
      <c r="BD10" s="71"/>
      <c r="BE10" s="71"/>
      <c r="BF10" s="35"/>
      <c r="BG10" s="36" t="n">
        <f aca="false">SUM(E10:BF10)</f>
        <v>18</v>
      </c>
    </row>
    <row r="11" customFormat="false" ht="19.5" hidden="false" customHeight="true" outlineLevel="0" collapsed="false">
      <c r="B11" s="30"/>
      <c r="C11" s="31"/>
      <c r="D11" s="25" t="s">
        <v>12</v>
      </c>
      <c r="E11" s="26" t="n">
        <v>3</v>
      </c>
      <c r="F11" s="27" t="n">
        <v>4</v>
      </c>
      <c r="G11" s="27" t="n">
        <v>4</v>
      </c>
      <c r="H11" s="27" t="n">
        <v>4</v>
      </c>
      <c r="I11" s="27" t="n">
        <v>9</v>
      </c>
      <c r="J11" s="27"/>
      <c r="K11" s="27"/>
      <c r="L11" s="27"/>
      <c r="M11" s="27"/>
      <c r="N11" s="27"/>
      <c r="O11" s="27"/>
      <c r="P11" s="27"/>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c r="AY11" s="70"/>
      <c r="AZ11" s="70"/>
      <c r="BA11" s="70"/>
      <c r="BB11" s="70"/>
      <c r="BC11" s="70"/>
      <c r="BD11" s="70"/>
      <c r="BE11" s="70"/>
      <c r="BF11" s="28"/>
      <c r="BG11" s="29" t="n">
        <f aca="false">SUM(E11:BF11)</f>
        <v>24</v>
      </c>
      <c r="BI11" s="37"/>
    </row>
    <row r="12" customFormat="false" ht="19.5" hidden="false" customHeight="true" outlineLevel="0" collapsed="false">
      <c r="B12" s="30" t="n">
        <v>4</v>
      </c>
      <c r="C12" s="31" t="s">
        <v>10</v>
      </c>
      <c r="D12" s="32" t="s">
        <v>11</v>
      </c>
      <c r="E12" s="33"/>
      <c r="F12" s="34"/>
      <c r="G12" s="34"/>
      <c r="H12" s="34"/>
      <c r="I12" s="34"/>
      <c r="J12" s="34"/>
      <c r="K12" s="34"/>
      <c r="L12" s="34"/>
      <c r="M12" s="34"/>
      <c r="N12" s="34"/>
      <c r="O12" s="34"/>
      <c r="P12" s="34"/>
      <c r="Q12" s="71"/>
      <c r="R12" s="71"/>
      <c r="S12" s="71"/>
      <c r="T12" s="71"/>
      <c r="U12" s="71"/>
      <c r="V12" s="71"/>
      <c r="W12" s="71"/>
      <c r="X12" s="71"/>
      <c r="Y12" s="71"/>
      <c r="Z12" s="71"/>
      <c r="AA12" s="71"/>
      <c r="AB12" s="71"/>
      <c r="AC12" s="71"/>
      <c r="AD12" s="71"/>
      <c r="AE12" s="71"/>
      <c r="AF12" s="71"/>
      <c r="AG12" s="71"/>
      <c r="AH12" s="71"/>
      <c r="AI12" s="71"/>
      <c r="AJ12" s="71"/>
      <c r="AK12" s="71"/>
      <c r="AL12" s="71"/>
      <c r="AM12" s="71"/>
      <c r="AN12" s="71"/>
      <c r="AO12" s="71"/>
      <c r="AP12" s="71"/>
      <c r="AQ12" s="71"/>
      <c r="AR12" s="71"/>
      <c r="AS12" s="71"/>
      <c r="AT12" s="71"/>
      <c r="AU12" s="71"/>
      <c r="AV12" s="71"/>
      <c r="AW12" s="71"/>
      <c r="AX12" s="71"/>
      <c r="AY12" s="71"/>
      <c r="AZ12" s="71"/>
      <c r="BA12" s="71"/>
      <c r="BB12" s="71"/>
      <c r="BC12" s="71"/>
      <c r="BD12" s="71"/>
      <c r="BE12" s="71"/>
      <c r="BF12" s="35"/>
      <c r="BG12" s="36" t="n">
        <f aca="false">SUM(E12:BF12)</f>
        <v>0</v>
      </c>
    </row>
    <row r="13" customFormat="false" ht="19.5" hidden="false" customHeight="true" outlineLevel="0" collapsed="false">
      <c r="B13" s="30"/>
      <c r="C13" s="31"/>
      <c r="D13" s="25" t="s">
        <v>12</v>
      </c>
      <c r="E13" s="26"/>
      <c r="F13" s="27"/>
      <c r="G13" s="27"/>
      <c r="H13" s="27"/>
      <c r="I13" s="27"/>
      <c r="J13" s="27"/>
      <c r="K13" s="27"/>
      <c r="L13" s="27"/>
      <c r="M13" s="27"/>
      <c r="N13" s="27"/>
      <c r="O13" s="27"/>
      <c r="P13" s="27"/>
      <c r="Q13" s="70"/>
      <c r="R13" s="70"/>
      <c r="S13" s="70"/>
      <c r="T13" s="70"/>
      <c r="U13" s="70"/>
      <c r="V13" s="70"/>
      <c r="W13" s="70"/>
      <c r="X13" s="70"/>
      <c r="Y13" s="70"/>
      <c r="Z13" s="70"/>
      <c r="AA13" s="70"/>
      <c r="AB13" s="70"/>
      <c r="AC13" s="70"/>
      <c r="AD13" s="70"/>
      <c r="AE13" s="70"/>
      <c r="AF13" s="70"/>
      <c r="AG13" s="70"/>
      <c r="AH13" s="70"/>
      <c r="AI13" s="70"/>
      <c r="AJ13" s="70"/>
      <c r="AK13" s="70"/>
      <c r="AL13" s="70"/>
      <c r="AM13" s="70"/>
      <c r="AN13" s="70"/>
      <c r="AO13" s="70"/>
      <c r="AP13" s="70"/>
      <c r="AQ13" s="70"/>
      <c r="AR13" s="70"/>
      <c r="AS13" s="70"/>
      <c r="AT13" s="70"/>
      <c r="AU13" s="70"/>
      <c r="AV13" s="70"/>
      <c r="AW13" s="70"/>
      <c r="AX13" s="70"/>
      <c r="AY13" s="70"/>
      <c r="AZ13" s="70"/>
      <c r="BA13" s="70"/>
      <c r="BB13" s="70"/>
      <c r="BC13" s="70"/>
      <c r="BD13" s="70"/>
      <c r="BE13" s="70"/>
      <c r="BF13" s="28"/>
      <c r="BG13" s="29" t="n">
        <f aca="false">SUM(E13:BF13)</f>
        <v>0</v>
      </c>
    </row>
    <row r="14" customFormat="false" ht="19.5" hidden="false" customHeight="true" outlineLevel="0" collapsed="false">
      <c r="B14" s="30" t="n">
        <v>5</v>
      </c>
      <c r="C14" s="31" t="s">
        <v>10</v>
      </c>
      <c r="D14" s="38" t="s">
        <v>11</v>
      </c>
      <c r="E14" s="33"/>
      <c r="F14" s="34"/>
      <c r="G14" s="34"/>
      <c r="H14" s="34"/>
      <c r="I14" s="34"/>
      <c r="J14" s="34"/>
      <c r="K14" s="34"/>
      <c r="L14" s="34"/>
      <c r="M14" s="34"/>
      <c r="N14" s="34"/>
      <c r="O14" s="34"/>
      <c r="P14" s="34"/>
      <c r="Q14" s="71"/>
      <c r="R14" s="71"/>
      <c r="S14" s="71"/>
      <c r="T14" s="71"/>
      <c r="U14" s="71"/>
      <c r="V14" s="71"/>
      <c r="W14" s="71"/>
      <c r="X14" s="71"/>
      <c r="Y14" s="71"/>
      <c r="Z14" s="71"/>
      <c r="AA14" s="71"/>
      <c r="AB14" s="71"/>
      <c r="AC14" s="71"/>
      <c r="AD14" s="71"/>
      <c r="AE14" s="71"/>
      <c r="AF14" s="71"/>
      <c r="AG14" s="71"/>
      <c r="AH14" s="71"/>
      <c r="AI14" s="71"/>
      <c r="AJ14" s="71"/>
      <c r="AK14" s="71"/>
      <c r="AL14" s="71"/>
      <c r="AM14" s="71"/>
      <c r="AN14" s="71"/>
      <c r="AO14" s="71"/>
      <c r="AP14" s="71"/>
      <c r="AQ14" s="71"/>
      <c r="AR14" s="71"/>
      <c r="AS14" s="71"/>
      <c r="AT14" s="71"/>
      <c r="AU14" s="71"/>
      <c r="AV14" s="71"/>
      <c r="AW14" s="71"/>
      <c r="AX14" s="71"/>
      <c r="AY14" s="71"/>
      <c r="AZ14" s="71"/>
      <c r="BA14" s="71"/>
      <c r="BB14" s="71"/>
      <c r="BC14" s="71"/>
      <c r="BD14" s="71"/>
      <c r="BE14" s="71"/>
      <c r="BF14" s="35"/>
      <c r="BG14" s="36" t="n">
        <f aca="false">SUM(E14:BF14)</f>
        <v>0</v>
      </c>
    </row>
    <row r="15" customFormat="false" ht="19.5" hidden="false" customHeight="true" outlineLevel="0" collapsed="false">
      <c r="B15" s="30"/>
      <c r="C15" s="31"/>
      <c r="D15" s="25" t="s">
        <v>12</v>
      </c>
      <c r="E15" s="26"/>
      <c r="F15" s="27"/>
      <c r="G15" s="27"/>
      <c r="H15" s="27"/>
      <c r="I15" s="27"/>
      <c r="J15" s="27"/>
      <c r="K15" s="27"/>
      <c r="L15" s="27"/>
      <c r="M15" s="27"/>
      <c r="N15" s="27"/>
      <c r="O15" s="27"/>
      <c r="P15" s="27"/>
      <c r="Q15" s="70"/>
      <c r="R15" s="70"/>
      <c r="S15" s="70"/>
      <c r="T15" s="70"/>
      <c r="U15" s="70"/>
      <c r="V15" s="70"/>
      <c r="W15" s="70"/>
      <c r="X15" s="70"/>
      <c r="Y15" s="70"/>
      <c r="Z15" s="70"/>
      <c r="AA15" s="70"/>
      <c r="AB15" s="70"/>
      <c r="AC15" s="70"/>
      <c r="AD15" s="70"/>
      <c r="AE15" s="70"/>
      <c r="AF15" s="70"/>
      <c r="AG15" s="70"/>
      <c r="AH15" s="70"/>
      <c r="AI15" s="70"/>
      <c r="AJ15" s="70"/>
      <c r="AK15" s="70"/>
      <c r="AL15" s="70"/>
      <c r="AM15" s="70"/>
      <c r="AN15" s="70"/>
      <c r="AO15" s="70"/>
      <c r="AP15" s="70"/>
      <c r="AQ15" s="70"/>
      <c r="AR15" s="70"/>
      <c r="AS15" s="70"/>
      <c r="AT15" s="70"/>
      <c r="AU15" s="70"/>
      <c r="AV15" s="70"/>
      <c r="AW15" s="70"/>
      <c r="AX15" s="70"/>
      <c r="AY15" s="70"/>
      <c r="AZ15" s="70"/>
      <c r="BA15" s="70"/>
      <c r="BB15" s="70"/>
      <c r="BC15" s="70"/>
      <c r="BD15" s="70"/>
      <c r="BE15" s="70"/>
      <c r="BF15" s="28"/>
      <c r="BG15" s="29" t="n">
        <f aca="false">SUM(E15:BF15)</f>
        <v>0</v>
      </c>
    </row>
    <row r="16" customFormat="false" ht="19.5" hidden="false" customHeight="true" outlineLevel="0" collapsed="false">
      <c r="B16" s="30" t="n">
        <v>6</v>
      </c>
      <c r="C16" s="31" t="s">
        <v>10</v>
      </c>
      <c r="D16" s="38" t="s">
        <v>11</v>
      </c>
      <c r="E16" s="33"/>
      <c r="F16" s="34"/>
      <c r="G16" s="34"/>
      <c r="H16" s="34"/>
      <c r="I16" s="34"/>
      <c r="J16" s="34"/>
      <c r="K16" s="34"/>
      <c r="L16" s="34"/>
      <c r="M16" s="34"/>
      <c r="N16" s="34"/>
      <c r="O16" s="34"/>
      <c r="P16" s="34"/>
      <c r="Q16" s="71"/>
      <c r="R16" s="71"/>
      <c r="S16" s="71"/>
      <c r="T16" s="71"/>
      <c r="U16" s="71"/>
      <c r="V16" s="71"/>
      <c r="W16" s="71"/>
      <c r="X16" s="71"/>
      <c r="Y16" s="71"/>
      <c r="Z16" s="71"/>
      <c r="AA16" s="71"/>
      <c r="AB16" s="71"/>
      <c r="AC16" s="71"/>
      <c r="AD16" s="71"/>
      <c r="AE16" s="71"/>
      <c r="AF16" s="71"/>
      <c r="AG16" s="71"/>
      <c r="AH16" s="71"/>
      <c r="AI16" s="71"/>
      <c r="AJ16" s="71"/>
      <c r="AK16" s="71"/>
      <c r="AL16" s="71"/>
      <c r="AM16" s="71"/>
      <c r="AN16" s="71"/>
      <c r="AO16" s="71"/>
      <c r="AP16" s="71"/>
      <c r="AQ16" s="71"/>
      <c r="AR16" s="71"/>
      <c r="AS16" s="71"/>
      <c r="AT16" s="71"/>
      <c r="AU16" s="71"/>
      <c r="AV16" s="71"/>
      <c r="AW16" s="71"/>
      <c r="AX16" s="71"/>
      <c r="AY16" s="71"/>
      <c r="AZ16" s="71"/>
      <c r="BA16" s="71"/>
      <c r="BB16" s="71"/>
      <c r="BC16" s="71"/>
      <c r="BD16" s="71"/>
      <c r="BE16" s="71"/>
      <c r="BF16" s="35"/>
      <c r="BG16" s="36" t="n">
        <f aca="false">SUM(E16:BF16)</f>
        <v>0</v>
      </c>
    </row>
    <row r="17" customFormat="false" ht="19.5" hidden="false" customHeight="true" outlineLevel="0" collapsed="false">
      <c r="B17" s="30"/>
      <c r="C17" s="31"/>
      <c r="D17" s="25" t="s">
        <v>12</v>
      </c>
      <c r="E17" s="26"/>
      <c r="F17" s="27"/>
      <c r="G17" s="27"/>
      <c r="H17" s="27"/>
      <c r="I17" s="27"/>
      <c r="J17" s="27"/>
      <c r="K17" s="27"/>
      <c r="L17" s="27"/>
      <c r="M17" s="27"/>
      <c r="N17" s="27"/>
      <c r="O17" s="27"/>
      <c r="P17" s="27"/>
      <c r="Q17" s="70"/>
      <c r="R17" s="70"/>
      <c r="S17" s="70"/>
      <c r="T17" s="70"/>
      <c r="U17" s="70"/>
      <c r="V17" s="70"/>
      <c r="W17" s="70"/>
      <c r="X17" s="70"/>
      <c r="Y17" s="70"/>
      <c r="Z17" s="70"/>
      <c r="AA17" s="70"/>
      <c r="AB17" s="70"/>
      <c r="AC17" s="70"/>
      <c r="AD17" s="70"/>
      <c r="AE17" s="70"/>
      <c r="AF17" s="70"/>
      <c r="AG17" s="70"/>
      <c r="AH17" s="70"/>
      <c r="AI17" s="70"/>
      <c r="AJ17" s="70"/>
      <c r="AK17" s="70"/>
      <c r="AL17" s="70"/>
      <c r="AM17" s="70"/>
      <c r="AN17" s="70"/>
      <c r="AO17" s="70"/>
      <c r="AP17" s="70"/>
      <c r="AQ17" s="70"/>
      <c r="AR17" s="70"/>
      <c r="AS17" s="70"/>
      <c r="AT17" s="70"/>
      <c r="AU17" s="70"/>
      <c r="AV17" s="70"/>
      <c r="AW17" s="70"/>
      <c r="AX17" s="70"/>
      <c r="AY17" s="70"/>
      <c r="AZ17" s="70"/>
      <c r="BA17" s="70"/>
      <c r="BB17" s="70"/>
      <c r="BC17" s="70"/>
      <c r="BD17" s="70"/>
      <c r="BE17" s="70"/>
      <c r="BF17" s="28"/>
      <c r="BG17" s="29" t="n">
        <f aca="false">SUM(E17:BF17)</f>
        <v>0</v>
      </c>
      <c r="BI17" s="13"/>
    </row>
    <row r="18" customFormat="false" ht="19.5" hidden="false" customHeight="true" outlineLevel="0" collapsed="false">
      <c r="B18" s="30" t="n">
        <v>7</v>
      </c>
      <c r="C18" s="31" t="s">
        <v>10</v>
      </c>
      <c r="D18" s="38" t="s">
        <v>11</v>
      </c>
      <c r="E18" s="33"/>
      <c r="F18" s="34"/>
      <c r="G18" s="34"/>
      <c r="H18" s="34"/>
      <c r="I18" s="34"/>
      <c r="J18" s="34"/>
      <c r="K18" s="34"/>
      <c r="L18" s="34"/>
      <c r="M18" s="34"/>
      <c r="N18" s="34"/>
      <c r="O18" s="34"/>
      <c r="P18" s="34"/>
      <c r="Q18" s="71"/>
      <c r="R18" s="71"/>
      <c r="S18" s="71"/>
      <c r="T18" s="71"/>
      <c r="U18" s="71"/>
      <c r="V18" s="71"/>
      <c r="W18" s="71"/>
      <c r="X18" s="71"/>
      <c r="Y18" s="71"/>
      <c r="Z18" s="71"/>
      <c r="AA18" s="71"/>
      <c r="AB18" s="71"/>
      <c r="AC18" s="71"/>
      <c r="AD18" s="71"/>
      <c r="AE18" s="71"/>
      <c r="AF18" s="71"/>
      <c r="AG18" s="71"/>
      <c r="AH18" s="71"/>
      <c r="AI18" s="71"/>
      <c r="AJ18" s="71"/>
      <c r="AK18" s="71"/>
      <c r="AL18" s="71"/>
      <c r="AM18" s="71"/>
      <c r="AN18" s="71"/>
      <c r="AO18" s="71"/>
      <c r="AP18" s="71"/>
      <c r="AQ18" s="71"/>
      <c r="AR18" s="71"/>
      <c r="AS18" s="71"/>
      <c r="AT18" s="71"/>
      <c r="AU18" s="71"/>
      <c r="AV18" s="71"/>
      <c r="AW18" s="71"/>
      <c r="AX18" s="71"/>
      <c r="AY18" s="71"/>
      <c r="AZ18" s="71"/>
      <c r="BA18" s="71"/>
      <c r="BB18" s="71"/>
      <c r="BC18" s="71"/>
      <c r="BD18" s="71"/>
      <c r="BE18" s="71"/>
      <c r="BF18" s="35"/>
      <c r="BG18" s="36" t="n">
        <f aca="false">SUM(E18:BF18)</f>
        <v>0</v>
      </c>
    </row>
    <row r="19" customFormat="false" ht="19.5" hidden="false" customHeight="true" outlineLevel="0" collapsed="false">
      <c r="B19" s="30"/>
      <c r="C19" s="31"/>
      <c r="D19" s="25" t="s">
        <v>12</v>
      </c>
      <c r="E19" s="26"/>
      <c r="F19" s="27"/>
      <c r="G19" s="27"/>
      <c r="H19" s="27"/>
      <c r="I19" s="27"/>
      <c r="J19" s="27"/>
      <c r="K19" s="27"/>
      <c r="L19" s="27"/>
      <c r="M19" s="27"/>
      <c r="N19" s="27"/>
      <c r="O19" s="27"/>
      <c r="P19" s="27"/>
      <c r="Q19" s="70"/>
      <c r="R19" s="70"/>
      <c r="S19" s="70"/>
      <c r="T19" s="70"/>
      <c r="U19" s="70"/>
      <c r="V19" s="70"/>
      <c r="W19" s="70"/>
      <c r="X19" s="70"/>
      <c r="Y19" s="70"/>
      <c r="Z19" s="70"/>
      <c r="AA19" s="70"/>
      <c r="AB19" s="70"/>
      <c r="AC19" s="70"/>
      <c r="AD19" s="70"/>
      <c r="AE19" s="70"/>
      <c r="AF19" s="70"/>
      <c r="AG19" s="70"/>
      <c r="AH19" s="70"/>
      <c r="AI19" s="70"/>
      <c r="AJ19" s="70"/>
      <c r="AK19" s="70"/>
      <c r="AL19" s="70"/>
      <c r="AM19" s="70"/>
      <c r="AN19" s="70"/>
      <c r="AO19" s="70"/>
      <c r="AP19" s="70"/>
      <c r="AQ19" s="70"/>
      <c r="AR19" s="70"/>
      <c r="AS19" s="70"/>
      <c r="AT19" s="70"/>
      <c r="AU19" s="70"/>
      <c r="AV19" s="70"/>
      <c r="AW19" s="70"/>
      <c r="AX19" s="70"/>
      <c r="AY19" s="70"/>
      <c r="AZ19" s="70"/>
      <c r="BA19" s="70"/>
      <c r="BB19" s="70"/>
      <c r="BC19" s="70"/>
      <c r="BD19" s="70"/>
      <c r="BE19" s="70"/>
      <c r="BF19" s="28"/>
      <c r="BG19" s="29" t="n">
        <f aca="false">SUM(E19:BF19)</f>
        <v>0</v>
      </c>
    </row>
    <row r="20" customFormat="false" ht="19.5" hidden="false" customHeight="true" outlineLevel="0" collapsed="false">
      <c r="B20" s="30" t="n">
        <v>8</v>
      </c>
      <c r="C20" s="31" t="s">
        <v>10</v>
      </c>
      <c r="D20" s="38" t="s">
        <v>11</v>
      </c>
      <c r="E20" s="33"/>
      <c r="F20" s="34"/>
      <c r="G20" s="34"/>
      <c r="H20" s="34"/>
      <c r="I20" s="34"/>
      <c r="J20" s="34"/>
      <c r="K20" s="34"/>
      <c r="L20" s="34"/>
      <c r="M20" s="34"/>
      <c r="N20" s="34"/>
      <c r="O20" s="34"/>
      <c r="P20" s="34"/>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c r="BC20" s="71"/>
      <c r="BD20" s="71"/>
      <c r="BE20" s="71"/>
      <c r="BF20" s="35"/>
      <c r="BG20" s="36" t="n">
        <f aca="false">SUM(E20:BF20)</f>
        <v>0</v>
      </c>
      <c r="BI20" s="13"/>
    </row>
    <row r="21" customFormat="false" ht="19.5" hidden="false" customHeight="true" outlineLevel="0" collapsed="false">
      <c r="B21" s="30"/>
      <c r="C21" s="31"/>
      <c r="D21" s="25" t="s">
        <v>12</v>
      </c>
      <c r="E21" s="26"/>
      <c r="F21" s="27"/>
      <c r="G21" s="27"/>
      <c r="H21" s="27"/>
      <c r="I21" s="27"/>
      <c r="J21" s="27"/>
      <c r="K21" s="27"/>
      <c r="L21" s="27"/>
      <c r="M21" s="27"/>
      <c r="N21" s="27"/>
      <c r="O21" s="27"/>
      <c r="P21" s="27"/>
      <c r="Q21" s="70"/>
      <c r="R21" s="70"/>
      <c r="S21" s="70"/>
      <c r="T21" s="70"/>
      <c r="U21" s="70"/>
      <c r="V21" s="70"/>
      <c r="W21" s="70"/>
      <c r="X21" s="70"/>
      <c r="Y21" s="70"/>
      <c r="Z21" s="70"/>
      <c r="AA21" s="70"/>
      <c r="AB21" s="70"/>
      <c r="AC21" s="70"/>
      <c r="AD21" s="70"/>
      <c r="AE21" s="70"/>
      <c r="AF21" s="70"/>
      <c r="AG21" s="70"/>
      <c r="AH21" s="70"/>
      <c r="AI21" s="70"/>
      <c r="AJ21" s="70"/>
      <c r="AK21" s="70"/>
      <c r="AL21" s="70"/>
      <c r="AM21" s="70"/>
      <c r="AN21" s="70"/>
      <c r="AO21" s="70"/>
      <c r="AP21" s="70"/>
      <c r="AQ21" s="70"/>
      <c r="AR21" s="70"/>
      <c r="AS21" s="70"/>
      <c r="AT21" s="70"/>
      <c r="AU21" s="70"/>
      <c r="AV21" s="70"/>
      <c r="AW21" s="70"/>
      <c r="AX21" s="70"/>
      <c r="AY21" s="70"/>
      <c r="AZ21" s="70"/>
      <c r="BA21" s="70"/>
      <c r="BB21" s="70"/>
      <c r="BC21" s="70"/>
      <c r="BD21" s="70"/>
      <c r="BE21" s="70"/>
      <c r="BF21" s="28"/>
      <c r="BG21" s="29" t="n">
        <f aca="false">SUM(E21:BF21)</f>
        <v>0</v>
      </c>
      <c r="BI21" s="13"/>
    </row>
    <row r="22" customFormat="false" ht="19.5" hidden="false" customHeight="true" outlineLevel="0" collapsed="false">
      <c r="B22" s="30" t="n">
        <v>9</v>
      </c>
      <c r="C22" s="31" t="s">
        <v>10</v>
      </c>
      <c r="D22" s="38" t="s">
        <v>11</v>
      </c>
      <c r="E22" s="33"/>
      <c r="F22" s="34"/>
      <c r="G22" s="34"/>
      <c r="H22" s="34"/>
      <c r="I22" s="34"/>
      <c r="J22" s="34"/>
      <c r="K22" s="34"/>
      <c r="L22" s="34"/>
      <c r="M22" s="34"/>
      <c r="N22" s="34"/>
      <c r="O22" s="34"/>
      <c r="P22" s="34"/>
      <c r="Q22" s="71"/>
      <c r="R22" s="71"/>
      <c r="S22" s="71"/>
      <c r="T22" s="71"/>
      <c r="U22" s="71"/>
      <c r="V22" s="71"/>
      <c r="W22" s="71"/>
      <c r="X22" s="71"/>
      <c r="Y22" s="71"/>
      <c r="Z22" s="71"/>
      <c r="AA22" s="71"/>
      <c r="AB22" s="71"/>
      <c r="AC22" s="71"/>
      <c r="AD22" s="71"/>
      <c r="AE22" s="71"/>
      <c r="AF22" s="71"/>
      <c r="AG22" s="71"/>
      <c r="AH22" s="71"/>
      <c r="AI22" s="71"/>
      <c r="AJ22" s="71"/>
      <c r="AK22" s="71"/>
      <c r="AL22" s="71"/>
      <c r="AM22" s="71"/>
      <c r="AN22" s="71"/>
      <c r="AO22" s="71"/>
      <c r="AP22" s="71"/>
      <c r="AQ22" s="71"/>
      <c r="AR22" s="71"/>
      <c r="AS22" s="71"/>
      <c r="AT22" s="71"/>
      <c r="AU22" s="71"/>
      <c r="AV22" s="71"/>
      <c r="AW22" s="71"/>
      <c r="AX22" s="71"/>
      <c r="AY22" s="71"/>
      <c r="AZ22" s="71"/>
      <c r="BA22" s="71"/>
      <c r="BB22" s="71"/>
      <c r="BC22" s="71"/>
      <c r="BD22" s="71"/>
      <c r="BE22" s="71"/>
      <c r="BF22" s="35"/>
      <c r="BG22" s="36" t="n">
        <f aca="false">SUM(E22:BF22)</f>
        <v>0</v>
      </c>
    </row>
    <row r="23" customFormat="false" ht="19.5" hidden="false" customHeight="true" outlineLevel="0" collapsed="false">
      <c r="B23" s="30"/>
      <c r="C23" s="31"/>
      <c r="D23" s="25" t="s">
        <v>12</v>
      </c>
      <c r="E23" s="26"/>
      <c r="F23" s="27"/>
      <c r="G23" s="27"/>
      <c r="H23" s="27"/>
      <c r="I23" s="27"/>
      <c r="J23" s="27"/>
      <c r="K23" s="27"/>
      <c r="L23" s="27"/>
      <c r="M23" s="27"/>
      <c r="N23" s="27"/>
      <c r="O23" s="27"/>
      <c r="P23" s="27"/>
      <c r="Q23" s="70"/>
      <c r="R23" s="70"/>
      <c r="S23" s="70"/>
      <c r="T23" s="70"/>
      <c r="U23" s="70"/>
      <c r="V23" s="70"/>
      <c r="W23" s="70"/>
      <c r="X23" s="70"/>
      <c r="Y23" s="70"/>
      <c r="Z23" s="70"/>
      <c r="AA23" s="70"/>
      <c r="AB23" s="70"/>
      <c r="AC23" s="70"/>
      <c r="AD23" s="70"/>
      <c r="AE23" s="70"/>
      <c r="AF23" s="70"/>
      <c r="AG23" s="70"/>
      <c r="AH23" s="70"/>
      <c r="AI23" s="70"/>
      <c r="AJ23" s="70"/>
      <c r="AK23" s="70"/>
      <c r="AL23" s="70"/>
      <c r="AM23" s="70"/>
      <c r="AN23" s="70"/>
      <c r="AO23" s="70"/>
      <c r="AP23" s="70"/>
      <c r="AQ23" s="70"/>
      <c r="AR23" s="70"/>
      <c r="AS23" s="70"/>
      <c r="AT23" s="70"/>
      <c r="AU23" s="70"/>
      <c r="AV23" s="70"/>
      <c r="AW23" s="70"/>
      <c r="AX23" s="70"/>
      <c r="AY23" s="70"/>
      <c r="AZ23" s="70"/>
      <c r="BA23" s="70"/>
      <c r="BB23" s="70"/>
      <c r="BC23" s="70"/>
      <c r="BD23" s="70"/>
      <c r="BE23" s="70"/>
      <c r="BF23" s="28"/>
      <c r="BG23" s="29" t="n">
        <f aca="false">SUM(E23:BF23)</f>
        <v>0</v>
      </c>
    </row>
    <row r="24" customFormat="false" ht="19.5" hidden="false" customHeight="true" outlineLevel="0" collapsed="false">
      <c r="B24" s="30" t="n">
        <v>10</v>
      </c>
      <c r="C24" s="31" t="s">
        <v>10</v>
      </c>
      <c r="D24" s="38" t="s">
        <v>11</v>
      </c>
      <c r="E24" s="33"/>
      <c r="F24" s="34"/>
      <c r="G24" s="34"/>
      <c r="H24" s="34"/>
      <c r="I24" s="34"/>
      <c r="J24" s="34"/>
      <c r="K24" s="34"/>
      <c r="L24" s="34"/>
      <c r="M24" s="34"/>
      <c r="N24" s="34"/>
      <c r="O24" s="34"/>
      <c r="P24" s="34"/>
      <c r="Q24" s="71"/>
      <c r="R24" s="71"/>
      <c r="S24" s="71"/>
      <c r="T24" s="71"/>
      <c r="U24" s="71"/>
      <c r="V24" s="71"/>
      <c r="W24" s="71"/>
      <c r="X24" s="71"/>
      <c r="Y24" s="71"/>
      <c r="Z24" s="71"/>
      <c r="AA24" s="71"/>
      <c r="AB24" s="71"/>
      <c r="AC24" s="71"/>
      <c r="AD24" s="71"/>
      <c r="AE24" s="71"/>
      <c r="AF24" s="71"/>
      <c r="AG24" s="71"/>
      <c r="AH24" s="71"/>
      <c r="AI24" s="71"/>
      <c r="AJ24" s="71"/>
      <c r="AK24" s="71"/>
      <c r="AL24" s="71"/>
      <c r="AM24" s="71"/>
      <c r="AN24" s="71"/>
      <c r="AO24" s="71"/>
      <c r="AP24" s="71"/>
      <c r="AQ24" s="71"/>
      <c r="AR24" s="71"/>
      <c r="AS24" s="71"/>
      <c r="AT24" s="71"/>
      <c r="AU24" s="71"/>
      <c r="AV24" s="71"/>
      <c r="AW24" s="71"/>
      <c r="AX24" s="71"/>
      <c r="AY24" s="71"/>
      <c r="AZ24" s="71"/>
      <c r="BA24" s="71"/>
      <c r="BB24" s="71"/>
      <c r="BC24" s="71"/>
      <c r="BD24" s="71"/>
      <c r="BE24" s="71"/>
      <c r="BF24" s="35"/>
      <c r="BG24" s="36" t="n">
        <f aca="false">SUM(E24:BF24)</f>
        <v>0</v>
      </c>
    </row>
    <row r="25" customFormat="false" ht="19.5" hidden="false" customHeight="true" outlineLevel="0" collapsed="false">
      <c r="B25" s="30"/>
      <c r="C25" s="31"/>
      <c r="D25" s="25" t="s">
        <v>12</v>
      </c>
      <c r="E25" s="26"/>
      <c r="F25" s="27"/>
      <c r="G25" s="27"/>
      <c r="H25" s="27"/>
      <c r="I25" s="27"/>
      <c r="J25" s="27"/>
      <c r="K25" s="27"/>
      <c r="L25" s="27"/>
      <c r="M25" s="27"/>
      <c r="N25" s="27"/>
      <c r="O25" s="27"/>
      <c r="P25" s="27"/>
      <c r="Q25" s="70"/>
      <c r="R25" s="70"/>
      <c r="S25" s="70"/>
      <c r="T25" s="70"/>
      <c r="U25" s="70"/>
      <c r="V25" s="70"/>
      <c r="W25" s="70"/>
      <c r="X25" s="70"/>
      <c r="Y25" s="70"/>
      <c r="Z25" s="70"/>
      <c r="AA25" s="70"/>
      <c r="AB25" s="70"/>
      <c r="AC25" s="70"/>
      <c r="AD25" s="70"/>
      <c r="AE25" s="70"/>
      <c r="AF25" s="70"/>
      <c r="AG25" s="70"/>
      <c r="AH25" s="70"/>
      <c r="AI25" s="70"/>
      <c r="AJ25" s="70"/>
      <c r="AK25" s="70"/>
      <c r="AL25" s="70"/>
      <c r="AM25" s="70"/>
      <c r="AN25" s="70"/>
      <c r="AO25" s="70"/>
      <c r="AP25" s="70"/>
      <c r="AQ25" s="70"/>
      <c r="AR25" s="70"/>
      <c r="AS25" s="70"/>
      <c r="AT25" s="70"/>
      <c r="AU25" s="70"/>
      <c r="AV25" s="70"/>
      <c r="AW25" s="70"/>
      <c r="AX25" s="70"/>
      <c r="AY25" s="70"/>
      <c r="AZ25" s="70"/>
      <c r="BA25" s="70"/>
      <c r="BB25" s="70"/>
      <c r="BC25" s="70"/>
      <c r="BD25" s="70"/>
      <c r="BE25" s="70"/>
      <c r="BF25" s="28"/>
      <c r="BG25" s="29" t="n">
        <f aca="false">SUM(E25:BF25)</f>
        <v>0</v>
      </c>
    </row>
    <row r="26" customFormat="false" ht="19.5" hidden="false" customHeight="true" outlineLevel="0" collapsed="false">
      <c r="B26" s="30" t="n">
        <v>11</v>
      </c>
      <c r="C26" s="31" t="s">
        <v>10</v>
      </c>
      <c r="D26" s="38" t="s">
        <v>11</v>
      </c>
      <c r="E26" s="33"/>
      <c r="F26" s="34"/>
      <c r="G26" s="34"/>
      <c r="H26" s="34"/>
      <c r="I26" s="34"/>
      <c r="J26" s="34"/>
      <c r="K26" s="34"/>
      <c r="L26" s="34"/>
      <c r="M26" s="34"/>
      <c r="N26" s="34"/>
      <c r="O26" s="34"/>
      <c r="P26" s="34"/>
      <c r="Q26" s="71"/>
      <c r="R26" s="71"/>
      <c r="S26" s="71"/>
      <c r="T26" s="71"/>
      <c r="U26" s="71"/>
      <c r="V26" s="71"/>
      <c r="W26" s="71"/>
      <c r="X26" s="71"/>
      <c r="Y26" s="71"/>
      <c r="Z26" s="71"/>
      <c r="AA26" s="71"/>
      <c r="AB26" s="71"/>
      <c r="AC26" s="71"/>
      <c r="AD26" s="71"/>
      <c r="AE26" s="71"/>
      <c r="AF26" s="71"/>
      <c r="AG26" s="71"/>
      <c r="AH26" s="71"/>
      <c r="AI26" s="71"/>
      <c r="AJ26" s="71"/>
      <c r="AK26" s="71"/>
      <c r="AL26" s="71"/>
      <c r="AM26" s="71"/>
      <c r="AN26" s="71"/>
      <c r="AO26" s="71"/>
      <c r="AP26" s="71"/>
      <c r="AQ26" s="71"/>
      <c r="AR26" s="71"/>
      <c r="AS26" s="71"/>
      <c r="AT26" s="71"/>
      <c r="AU26" s="71"/>
      <c r="AV26" s="71"/>
      <c r="AW26" s="71"/>
      <c r="AX26" s="71"/>
      <c r="AY26" s="71"/>
      <c r="AZ26" s="71"/>
      <c r="BA26" s="71"/>
      <c r="BB26" s="71"/>
      <c r="BC26" s="71"/>
      <c r="BD26" s="71"/>
      <c r="BE26" s="71"/>
      <c r="BF26" s="35"/>
      <c r="BG26" s="36" t="n">
        <f aca="false">SUM(E26:BF26)</f>
        <v>0</v>
      </c>
    </row>
    <row r="27" customFormat="false" ht="19.5" hidden="false" customHeight="true" outlineLevel="0" collapsed="false">
      <c r="B27" s="30"/>
      <c r="C27" s="31"/>
      <c r="D27" s="25" t="s">
        <v>12</v>
      </c>
      <c r="E27" s="26"/>
      <c r="F27" s="27"/>
      <c r="G27" s="27"/>
      <c r="H27" s="27"/>
      <c r="I27" s="27"/>
      <c r="J27" s="27"/>
      <c r="K27" s="27"/>
      <c r="L27" s="27"/>
      <c r="M27" s="27"/>
      <c r="N27" s="27"/>
      <c r="O27" s="27"/>
      <c r="P27" s="27"/>
      <c r="Q27" s="70"/>
      <c r="R27" s="70"/>
      <c r="S27" s="70"/>
      <c r="T27" s="70"/>
      <c r="U27" s="70"/>
      <c r="V27" s="70"/>
      <c r="W27" s="70"/>
      <c r="X27" s="70"/>
      <c r="Y27" s="70"/>
      <c r="Z27" s="70"/>
      <c r="AA27" s="70"/>
      <c r="AB27" s="70"/>
      <c r="AC27" s="70"/>
      <c r="AD27" s="70"/>
      <c r="AE27" s="70"/>
      <c r="AF27" s="70"/>
      <c r="AG27" s="70"/>
      <c r="AH27" s="70"/>
      <c r="AI27" s="70"/>
      <c r="AJ27" s="70"/>
      <c r="AK27" s="70"/>
      <c r="AL27" s="70"/>
      <c r="AM27" s="70"/>
      <c r="AN27" s="70"/>
      <c r="AO27" s="70"/>
      <c r="AP27" s="70"/>
      <c r="AQ27" s="70"/>
      <c r="AR27" s="70"/>
      <c r="AS27" s="70"/>
      <c r="AT27" s="70"/>
      <c r="AU27" s="70"/>
      <c r="AV27" s="70"/>
      <c r="AW27" s="70"/>
      <c r="AX27" s="70"/>
      <c r="AY27" s="70"/>
      <c r="AZ27" s="70"/>
      <c r="BA27" s="70"/>
      <c r="BB27" s="70"/>
      <c r="BC27" s="70"/>
      <c r="BD27" s="70"/>
      <c r="BE27" s="70"/>
      <c r="BF27" s="28"/>
      <c r="BG27" s="29" t="n">
        <f aca="false">SUM(E27:BF27)</f>
        <v>0</v>
      </c>
    </row>
    <row r="28" customFormat="false" ht="19.5" hidden="false" customHeight="true" outlineLevel="0" collapsed="false">
      <c r="B28" s="30" t="n">
        <v>12</v>
      </c>
      <c r="C28" s="31" t="s">
        <v>10</v>
      </c>
      <c r="D28" s="38" t="s">
        <v>11</v>
      </c>
      <c r="E28" s="33"/>
      <c r="F28" s="34"/>
      <c r="G28" s="34"/>
      <c r="H28" s="34"/>
      <c r="I28" s="34"/>
      <c r="J28" s="34"/>
      <c r="K28" s="34"/>
      <c r="L28" s="34"/>
      <c r="M28" s="34"/>
      <c r="N28" s="34"/>
      <c r="O28" s="34"/>
      <c r="P28" s="34"/>
      <c r="Q28" s="71"/>
      <c r="R28" s="71"/>
      <c r="S28" s="71"/>
      <c r="T28" s="71"/>
      <c r="U28" s="71"/>
      <c r="V28" s="71"/>
      <c r="W28" s="71"/>
      <c r="X28" s="71"/>
      <c r="Y28" s="71"/>
      <c r="Z28" s="71"/>
      <c r="AA28" s="71"/>
      <c r="AB28" s="71"/>
      <c r="AC28" s="71"/>
      <c r="AD28" s="71"/>
      <c r="AE28" s="71"/>
      <c r="AF28" s="71"/>
      <c r="AG28" s="71"/>
      <c r="AH28" s="71"/>
      <c r="AI28" s="71"/>
      <c r="AJ28" s="71"/>
      <c r="AK28" s="71"/>
      <c r="AL28" s="71"/>
      <c r="AM28" s="71"/>
      <c r="AN28" s="71"/>
      <c r="AO28" s="71"/>
      <c r="AP28" s="71"/>
      <c r="AQ28" s="71"/>
      <c r="AR28" s="71"/>
      <c r="AS28" s="71"/>
      <c r="AT28" s="71"/>
      <c r="AU28" s="71"/>
      <c r="AV28" s="71"/>
      <c r="AW28" s="71"/>
      <c r="AX28" s="71"/>
      <c r="AY28" s="71"/>
      <c r="AZ28" s="71"/>
      <c r="BA28" s="71"/>
      <c r="BB28" s="71"/>
      <c r="BC28" s="71"/>
      <c r="BD28" s="71"/>
      <c r="BE28" s="71"/>
      <c r="BF28" s="35"/>
      <c r="BG28" s="36" t="n">
        <f aca="false">SUM(E28:BF28)</f>
        <v>0</v>
      </c>
    </row>
    <row r="29" customFormat="false" ht="19.5" hidden="false" customHeight="true" outlineLevel="0" collapsed="false">
      <c r="B29" s="30"/>
      <c r="C29" s="31"/>
      <c r="D29" s="25" t="s">
        <v>12</v>
      </c>
      <c r="E29" s="26"/>
      <c r="F29" s="27"/>
      <c r="G29" s="27"/>
      <c r="H29" s="27"/>
      <c r="I29" s="27"/>
      <c r="J29" s="27"/>
      <c r="K29" s="27"/>
      <c r="L29" s="27"/>
      <c r="M29" s="27"/>
      <c r="N29" s="27"/>
      <c r="O29" s="27"/>
      <c r="P29" s="27"/>
      <c r="Q29" s="70"/>
      <c r="R29" s="70"/>
      <c r="S29" s="70"/>
      <c r="T29" s="70"/>
      <c r="U29" s="70"/>
      <c r="V29" s="70"/>
      <c r="W29" s="70"/>
      <c r="X29" s="70"/>
      <c r="Y29" s="70"/>
      <c r="Z29" s="70"/>
      <c r="AA29" s="70"/>
      <c r="AB29" s="70"/>
      <c r="AC29" s="70"/>
      <c r="AD29" s="70"/>
      <c r="AE29" s="70"/>
      <c r="AF29" s="70"/>
      <c r="AG29" s="70"/>
      <c r="AH29" s="70"/>
      <c r="AI29" s="70"/>
      <c r="AJ29" s="70"/>
      <c r="AK29" s="70"/>
      <c r="AL29" s="70"/>
      <c r="AM29" s="70"/>
      <c r="AN29" s="70"/>
      <c r="AO29" s="70"/>
      <c r="AP29" s="70"/>
      <c r="AQ29" s="70"/>
      <c r="AR29" s="70"/>
      <c r="AS29" s="70"/>
      <c r="AT29" s="70"/>
      <c r="AU29" s="70"/>
      <c r="AV29" s="70"/>
      <c r="AW29" s="70"/>
      <c r="AX29" s="70"/>
      <c r="AY29" s="70"/>
      <c r="AZ29" s="70"/>
      <c r="BA29" s="70"/>
      <c r="BB29" s="70"/>
      <c r="BC29" s="70"/>
      <c r="BD29" s="70"/>
      <c r="BE29" s="70"/>
      <c r="BF29" s="28"/>
      <c r="BG29" s="29" t="n">
        <f aca="false">SUM(E29:BF29)</f>
        <v>0</v>
      </c>
    </row>
    <row r="30" customFormat="false" ht="19.5" hidden="false" customHeight="true" outlineLevel="0" collapsed="false">
      <c r="B30" s="30" t="n">
        <v>13</v>
      </c>
      <c r="C30" s="31" t="s">
        <v>10</v>
      </c>
      <c r="D30" s="38" t="s">
        <v>11</v>
      </c>
      <c r="E30" s="33"/>
      <c r="F30" s="34"/>
      <c r="G30" s="34"/>
      <c r="H30" s="34"/>
      <c r="I30" s="34"/>
      <c r="J30" s="34"/>
      <c r="K30" s="34"/>
      <c r="L30" s="34"/>
      <c r="M30" s="34"/>
      <c r="N30" s="34"/>
      <c r="O30" s="34"/>
      <c r="P30" s="34"/>
      <c r="Q30" s="71"/>
      <c r="R30" s="71"/>
      <c r="S30" s="71"/>
      <c r="T30" s="71"/>
      <c r="U30" s="71"/>
      <c r="V30" s="71"/>
      <c r="W30" s="71"/>
      <c r="X30" s="71"/>
      <c r="Y30" s="71"/>
      <c r="Z30" s="71"/>
      <c r="AA30" s="71"/>
      <c r="AB30" s="71"/>
      <c r="AC30" s="71"/>
      <c r="AD30" s="71"/>
      <c r="AE30" s="71"/>
      <c r="AF30" s="71"/>
      <c r="AG30" s="71"/>
      <c r="AH30" s="71"/>
      <c r="AI30" s="71"/>
      <c r="AJ30" s="71"/>
      <c r="AK30" s="71"/>
      <c r="AL30" s="71"/>
      <c r="AM30" s="71"/>
      <c r="AN30" s="71"/>
      <c r="AO30" s="71"/>
      <c r="AP30" s="71"/>
      <c r="AQ30" s="71"/>
      <c r="AR30" s="71"/>
      <c r="AS30" s="71"/>
      <c r="AT30" s="71"/>
      <c r="AU30" s="71"/>
      <c r="AV30" s="71"/>
      <c r="AW30" s="71"/>
      <c r="AX30" s="71"/>
      <c r="AY30" s="71"/>
      <c r="AZ30" s="71"/>
      <c r="BA30" s="71"/>
      <c r="BB30" s="71"/>
      <c r="BC30" s="71"/>
      <c r="BD30" s="71"/>
      <c r="BE30" s="71"/>
      <c r="BF30" s="35"/>
      <c r="BG30" s="36" t="n">
        <f aca="false">SUM(E30:BF30)</f>
        <v>0</v>
      </c>
    </row>
    <row r="31" customFormat="false" ht="19.5" hidden="false" customHeight="true" outlineLevel="0" collapsed="false">
      <c r="B31" s="30"/>
      <c r="C31" s="31"/>
      <c r="D31" s="25" t="s">
        <v>12</v>
      </c>
      <c r="E31" s="26"/>
      <c r="F31" s="27"/>
      <c r="G31" s="27"/>
      <c r="H31" s="27"/>
      <c r="I31" s="27"/>
      <c r="J31" s="27"/>
      <c r="K31" s="27"/>
      <c r="L31" s="27"/>
      <c r="M31" s="27"/>
      <c r="N31" s="27"/>
      <c r="O31" s="27"/>
      <c r="P31" s="27"/>
      <c r="Q31" s="70"/>
      <c r="R31" s="70"/>
      <c r="S31" s="70"/>
      <c r="T31" s="70"/>
      <c r="U31" s="70"/>
      <c r="V31" s="70"/>
      <c r="W31" s="70"/>
      <c r="X31" s="70"/>
      <c r="Y31" s="70"/>
      <c r="Z31" s="70"/>
      <c r="AA31" s="70"/>
      <c r="AB31" s="70"/>
      <c r="AC31" s="70"/>
      <c r="AD31" s="70"/>
      <c r="AE31" s="70"/>
      <c r="AF31" s="70"/>
      <c r="AG31" s="70"/>
      <c r="AH31" s="70"/>
      <c r="AI31" s="70"/>
      <c r="AJ31" s="70"/>
      <c r="AK31" s="70"/>
      <c r="AL31" s="70"/>
      <c r="AM31" s="70"/>
      <c r="AN31" s="70"/>
      <c r="AO31" s="70"/>
      <c r="AP31" s="70"/>
      <c r="AQ31" s="70"/>
      <c r="AR31" s="70"/>
      <c r="AS31" s="70"/>
      <c r="AT31" s="70"/>
      <c r="AU31" s="70"/>
      <c r="AV31" s="70"/>
      <c r="AW31" s="70"/>
      <c r="AX31" s="70"/>
      <c r="AY31" s="70"/>
      <c r="AZ31" s="70"/>
      <c r="BA31" s="70"/>
      <c r="BB31" s="70"/>
      <c r="BC31" s="70"/>
      <c r="BD31" s="70"/>
      <c r="BE31" s="70"/>
      <c r="BF31" s="28"/>
      <c r="BG31" s="29" t="n">
        <f aca="false">SUM(E31:BF31)</f>
        <v>0</v>
      </c>
    </row>
    <row r="32" customFormat="false" ht="19.5" hidden="false" customHeight="true" outlineLevel="0" collapsed="false">
      <c r="B32" s="30" t="n">
        <v>14</v>
      </c>
      <c r="C32" s="31" t="s">
        <v>10</v>
      </c>
      <c r="D32" s="38" t="s">
        <v>11</v>
      </c>
      <c r="E32" s="33"/>
      <c r="F32" s="34"/>
      <c r="G32" s="34"/>
      <c r="H32" s="34"/>
      <c r="I32" s="34"/>
      <c r="J32" s="34"/>
      <c r="K32" s="34"/>
      <c r="L32" s="34"/>
      <c r="M32" s="34"/>
      <c r="N32" s="34"/>
      <c r="O32" s="34"/>
      <c r="P32" s="34"/>
      <c r="Q32" s="71"/>
      <c r="R32" s="71"/>
      <c r="S32" s="71"/>
      <c r="T32" s="71"/>
      <c r="U32" s="71"/>
      <c r="V32" s="71"/>
      <c r="W32" s="71"/>
      <c r="X32" s="71"/>
      <c r="Y32" s="71"/>
      <c r="Z32" s="71"/>
      <c r="AA32" s="71"/>
      <c r="AB32" s="71"/>
      <c r="AC32" s="71"/>
      <c r="AD32" s="71"/>
      <c r="AE32" s="71"/>
      <c r="AF32" s="71"/>
      <c r="AG32" s="71"/>
      <c r="AH32" s="71"/>
      <c r="AI32" s="71"/>
      <c r="AJ32" s="71"/>
      <c r="AK32" s="71"/>
      <c r="AL32" s="71"/>
      <c r="AM32" s="71"/>
      <c r="AN32" s="71"/>
      <c r="AO32" s="71"/>
      <c r="AP32" s="71"/>
      <c r="AQ32" s="71"/>
      <c r="AR32" s="71"/>
      <c r="AS32" s="71"/>
      <c r="AT32" s="71"/>
      <c r="AU32" s="71"/>
      <c r="AV32" s="71"/>
      <c r="AW32" s="71"/>
      <c r="AX32" s="71"/>
      <c r="AY32" s="71"/>
      <c r="AZ32" s="71"/>
      <c r="BA32" s="71"/>
      <c r="BB32" s="71"/>
      <c r="BC32" s="71"/>
      <c r="BD32" s="71"/>
      <c r="BE32" s="71"/>
      <c r="BF32" s="35"/>
      <c r="BG32" s="36" t="n">
        <f aca="false">SUM(E32:BF32)</f>
        <v>0</v>
      </c>
    </row>
    <row r="33" customFormat="false" ht="19.5" hidden="false" customHeight="true" outlineLevel="0" collapsed="false">
      <c r="B33" s="30"/>
      <c r="C33" s="31"/>
      <c r="D33" s="39" t="s">
        <v>12</v>
      </c>
      <c r="E33" s="26"/>
      <c r="F33" s="27"/>
      <c r="G33" s="27"/>
      <c r="H33" s="27"/>
      <c r="I33" s="27"/>
      <c r="J33" s="27"/>
      <c r="K33" s="27"/>
      <c r="L33" s="27"/>
      <c r="M33" s="27"/>
      <c r="N33" s="27"/>
      <c r="O33" s="27"/>
      <c r="P33" s="27"/>
      <c r="Q33" s="70"/>
      <c r="R33" s="70"/>
      <c r="S33" s="70"/>
      <c r="T33" s="70"/>
      <c r="U33" s="70"/>
      <c r="V33" s="70"/>
      <c r="W33" s="70"/>
      <c r="X33" s="70"/>
      <c r="Y33" s="70"/>
      <c r="Z33" s="70"/>
      <c r="AA33" s="70"/>
      <c r="AB33" s="70"/>
      <c r="AC33" s="70"/>
      <c r="AD33" s="70"/>
      <c r="AE33" s="70"/>
      <c r="AF33" s="70"/>
      <c r="AG33" s="70"/>
      <c r="AH33" s="70"/>
      <c r="AI33" s="70"/>
      <c r="AJ33" s="70"/>
      <c r="AK33" s="70"/>
      <c r="AL33" s="70"/>
      <c r="AM33" s="70"/>
      <c r="AN33" s="70"/>
      <c r="AO33" s="70"/>
      <c r="AP33" s="70"/>
      <c r="AQ33" s="70"/>
      <c r="AR33" s="70"/>
      <c r="AS33" s="70"/>
      <c r="AT33" s="70"/>
      <c r="AU33" s="70"/>
      <c r="AV33" s="70"/>
      <c r="AW33" s="70"/>
      <c r="AX33" s="70"/>
      <c r="AY33" s="70"/>
      <c r="AZ33" s="70"/>
      <c r="BA33" s="70"/>
      <c r="BB33" s="70"/>
      <c r="BC33" s="70"/>
      <c r="BD33" s="70"/>
      <c r="BE33" s="70"/>
      <c r="BF33" s="28"/>
      <c r="BG33" s="29" t="n">
        <f aca="false">SUM(E33:BF33)</f>
        <v>0</v>
      </c>
    </row>
    <row r="34" customFormat="false" ht="19.5" hidden="false" customHeight="true" outlineLevel="0" collapsed="false">
      <c r="B34" s="30" t="n">
        <v>15</v>
      </c>
      <c r="C34" s="31" t="s">
        <v>10</v>
      </c>
      <c r="D34" s="38" t="s">
        <v>11</v>
      </c>
      <c r="E34" s="33"/>
      <c r="F34" s="34"/>
      <c r="G34" s="34"/>
      <c r="H34" s="34"/>
      <c r="I34" s="34"/>
      <c r="J34" s="34"/>
      <c r="K34" s="34"/>
      <c r="L34" s="34"/>
      <c r="M34" s="34"/>
      <c r="N34" s="34"/>
      <c r="O34" s="34"/>
      <c r="P34" s="34"/>
      <c r="Q34" s="71"/>
      <c r="R34" s="71"/>
      <c r="S34" s="71"/>
      <c r="T34" s="71"/>
      <c r="U34" s="71"/>
      <c r="V34" s="71"/>
      <c r="W34" s="71"/>
      <c r="X34" s="71"/>
      <c r="Y34" s="71"/>
      <c r="Z34" s="71"/>
      <c r="AA34" s="71"/>
      <c r="AB34" s="71"/>
      <c r="AC34" s="71"/>
      <c r="AD34" s="71"/>
      <c r="AE34" s="71"/>
      <c r="AF34" s="71"/>
      <c r="AG34" s="71"/>
      <c r="AH34" s="71"/>
      <c r="AI34" s="71"/>
      <c r="AJ34" s="71"/>
      <c r="AK34" s="71"/>
      <c r="AL34" s="71"/>
      <c r="AM34" s="71"/>
      <c r="AN34" s="71"/>
      <c r="AO34" s="71"/>
      <c r="AP34" s="71"/>
      <c r="AQ34" s="71"/>
      <c r="AR34" s="71"/>
      <c r="AS34" s="71"/>
      <c r="AT34" s="71"/>
      <c r="AU34" s="71"/>
      <c r="AV34" s="71"/>
      <c r="AW34" s="71"/>
      <c r="AX34" s="71"/>
      <c r="AY34" s="71"/>
      <c r="AZ34" s="71"/>
      <c r="BA34" s="71"/>
      <c r="BB34" s="71"/>
      <c r="BC34" s="71"/>
      <c r="BD34" s="71"/>
      <c r="BE34" s="71"/>
      <c r="BF34" s="35"/>
      <c r="BG34" s="36" t="n">
        <f aca="false">SUM(E34:BF34)</f>
        <v>0</v>
      </c>
    </row>
    <row r="35" customFormat="false" ht="19.5" hidden="false" customHeight="true" outlineLevel="0" collapsed="false">
      <c r="B35" s="30"/>
      <c r="C35" s="31"/>
      <c r="D35" s="39" t="s">
        <v>12</v>
      </c>
      <c r="E35" s="26"/>
      <c r="F35" s="27"/>
      <c r="G35" s="27"/>
      <c r="H35" s="27"/>
      <c r="I35" s="27"/>
      <c r="J35" s="27"/>
      <c r="K35" s="27"/>
      <c r="L35" s="27"/>
      <c r="M35" s="27"/>
      <c r="N35" s="27"/>
      <c r="O35" s="27"/>
      <c r="P35" s="27"/>
      <c r="Q35" s="70"/>
      <c r="R35" s="70"/>
      <c r="S35" s="70"/>
      <c r="T35" s="70"/>
      <c r="U35" s="70"/>
      <c r="V35" s="70"/>
      <c r="W35" s="70"/>
      <c r="X35" s="70"/>
      <c r="Y35" s="70"/>
      <c r="Z35" s="70"/>
      <c r="AA35" s="70"/>
      <c r="AB35" s="70"/>
      <c r="AC35" s="70"/>
      <c r="AD35" s="70"/>
      <c r="AE35" s="70"/>
      <c r="AF35" s="70"/>
      <c r="AG35" s="70"/>
      <c r="AH35" s="70"/>
      <c r="AI35" s="70"/>
      <c r="AJ35" s="70"/>
      <c r="AK35" s="70"/>
      <c r="AL35" s="70"/>
      <c r="AM35" s="70"/>
      <c r="AN35" s="70"/>
      <c r="AO35" s="70"/>
      <c r="AP35" s="70"/>
      <c r="AQ35" s="70"/>
      <c r="AR35" s="70"/>
      <c r="AS35" s="70"/>
      <c r="AT35" s="70"/>
      <c r="AU35" s="70"/>
      <c r="AV35" s="70"/>
      <c r="AW35" s="70"/>
      <c r="AX35" s="70"/>
      <c r="AY35" s="70"/>
      <c r="AZ35" s="70"/>
      <c r="BA35" s="70"/>
      <c r="BB35" s="70"/>
      <c r="BC35" s="70"/>
      <c r="BD35" s="70"/>
      <c r="BE35" s="70"/>
      <c r="BF35" s="28"/>
      <c r="BG35" s="29" t="n">
        <f aca="false">SUM(E35:BF35)</f>
        <v>0</v>
      </c>
    </row>
    <row r="36" customFormat="false" ht="19.5" hidden="false" customHeight="true" outlineLevel="0" collapsed="false">
      <c r="B36" s="30" t="n">
        <v>16</v>
      </c>
      <c r="C36" s="31" t="s">
        <v>10</v>
      </c>
      <c r="D36" s="38" t="s">
        <v>11</v>
      </c>
      <c r="E36" s="33"/>
      <c r="F36" s="34"/>
      <c r="G36" s="34"/>
      <c r="H36" s="34"/>
      <c r="I36" s="34"/>
      <c r="J36" s="34"/>
      <c r="K36" s="34"/>
      <c r="L36" s="34"/>
      <c r="M36" s="34"/>
      <c r="N36" s="34"/>
      <c r="O36" s="34"/>
      <c r="P36" s="34"/>
      <c r="Q36" s="71"/>
      <c r="R36" s="71"/>
      <c r="S36" s="71"/>
      <c r="T36" s="71"/>
      <c r="U36" s="71"/>
      <c r="V36" s="71"/>
      <c r="W36" s="71"/>
      <c r="X36" s="71"/>
      <c r="Y36" s="71"/>
      <c r="Z36" s="71"/>
      <c r="AA36" s="71"/>
      <c r="AB36" s="71"/>
      <c r="AC36" s="71"/>
      <c r="AD36" s="71"/>
      <c r="AE36" s="71"/>
      <c r="AF36" s="71"/>
      <c r="AG36" s="71"/>
      <c r="AH36" s="71"/>
      <c r="AI36" s="71"/>
      <c r="AJ36" s="71"/>
      <c r="AK36" s="71"/>
      <c r="AL36" s="71"/>
      <c r="AM36" s="71"/>
      <c r="AN36" s="71"/>
      <c r="AO36" s="71"/>
      <c r="AP36" s="71"/>
      <c r="AQ36" s="71"/>
      <c r="AR36" s="71"/>
      <c r="AS36" s="71"/>
      <c r="AT36" s="71"/>
      <c r="AU36" s="71"/>
      <c r="AV36" s="71"/>
      <c r="AW36" s="71"/>
      <c r="AX36" s="71"/>
      <c r="AY36" s="71"/>
      <c r="AZ36" s="71"/>
      <c r="BA36" s="71"/>
      <c r="BB36" s="71"/>
      <c r="BC36" s="71"/>
      <c r="BD36" s="71"/>
      <c r="BE36" s="71"/>
      <c r="BF36" s="35"/>
      <c r="BG36" s="36" t="n">
        <f aca="false">SUM(E36:BF36)</f>
        <v>0</v>
      </c>
    </row>
    <row r="37" customFormat="false" ht="19.5" hidden="false" customHeight="true" outlineLevel="0" collapsed="false">
      <c r="B37" s="30"/>
      <c r="C37" s="31"/>
      <c r="D37" s="39" t="s">
        <v>12</v>
      </c>
      <c r="E37" s="26"/>
      <c r="F37" s="27"/>
      <c r="G37" s="27"/>
      <c r="H37" s="27"/>
      <c r="I37" s="27"/>
      <c r="J37" s="27"/>
      <c r="K37" s="27"/>
      <c r="L37" s="27"/>
      <c r="M37" s="27"/>
      <c r="N37" s="27"/>
      <c r="O37" s="27"/>
      <c r="P37" s="27"/>
      <c r="Q37" s="70"/>
      <c r="R37" s="70"/>
      <c r="S37" s="70"/>
      <c r="T37" s="70"/>
      <c r="U37" s="70"/>
      <c r="V37" s="70"/>
      <c r="W37" s="70"/>
      <c r="X37" s="70"/>
      <c r="Y37" s="70"/>
      <c r="Z37" s="70"/>
      <c r="AA37" s="70"/>
      <c r="AB37" s="70"/>
      <c r="AC37" s="70"/>
      <c r="AD37" s="70"/>
      <c r="AE37" s="70"/>
      <c r="AF37" s="70"/>
      <c r="AG37" s="70"/>
      <c r="AH37" s="70"/>
      <c r="AI37" s="70"/>
      <c r="AJ37" s="70"/>
      <c r="AK37" s="70"/>
      <c r="AL37" s="70"/>
      <c r="AM37" s="70"/>
      <c r="AN37" s="70"/>
      <c r="AO37" s="70"/>
      <c r="AP37" s="70"/>
      <c r="AQ37" s="70"/>
      <c r="AR37" s="70"/>
      <c r="AS37" s="70"/>
      <c r="AT37" s="70"/>
      <c r="AU37" s="70"/>
      <c r="AV37" s="70"/>
      <c r="AW37" s="70"/>
      <c r="AX37" s="70"/>
      <c r="AY37" s="70"/>
      <c r="AZ37" s="70"/>
      <c r="BA37" s="70"/>
      <c r="BB37" s="70"/>
      <c r="BC37" s="70"/>
      <c r="BD37" s="70"/>
      <c r="BE37" s="70"/>
      <c r="BF37" s="28"/>
      <c r="BG37" s="29" t="n">
        <f aca="false">SUM(E37:BF37)</f>
        <v>0</v>
      </c>
    </row>
    <row r="38" customFormat="false" ht="19.5" hidden="false" customHeight="true" outlineLevel="0" collapsed="false">
      <c r="B38" s="30" t="n">
        <v>17</v>
      </c>
      <c r="C38" s="31" t="s">
        <v>10</v>
      </c>
      <c r="D38" s="38" t="s">
        <v>11</v>
      </c>
      <c r="E38" s="33"/>
      <c r="F38" s="34"/>
      <c r="G38" s="34"/>
      <c r="H38" s="34"/>
      <c r="I38" s="34"/>
      <c r="J38" s="34"/>
      <c r="K38" s="34"/>
      <c r="L38" s="34"/>
      <c r="M38" s="34"/>
      <c r="N38" s="34"/>
      <c r="O38" s="34"/>
      <c r="P38" s="34"/>
      <c r="Q38" s="71"/>
      <c r="R38" s="71"/>
      <c r="S38" s="71"/>
      <c r="T38" s="71"/>
      <c r="U38" s="71"/>
      <c r="V38" s="71"/>
      <c r="W38" s="71"/>
      <c r="X38" s="71"/>
      <c r="Y38" s="71"/>
      <c r="Z38" s="71"/>
      <c r="AA38" s="71"/>
      <c r="AB38" s="71"/>
      <c r="AC38" s="71"/>
      <c r="AD38" s="71"/>
      <c r="AE38" s="71"/>
      <c r="AF38" s="71"/>
      <c r="AG38" s="71"/>
      <c r="AH38" s="71"/>
      <c r="AI38" s="71"/>
      <c r="AJ38" s="71"/>
      <c r="AK38" s="71"/>
      <c r="AL38" s="71"/>
      <c r="AM38" s="71"/>
      <c r="AN38" s="71"/>
      <c r="AO38" s="71"/>
      <c r="AP38" s="71"/>
      <c r="AQ38" s="71"/>
      <c r="AR38" s="71"/>
      <c r="AS38" s="71"/>
      <c r="AT38" s="71"/>
      <c r="AU38" s="71"/>
      <c r="AV38" s="71"/>
      <c r="AW38" s="71"/>
      <c r="AX38" s="71"/>
      <c r="AY38" s="71"/>
      <c r="AZ38" s="71"/>
      <c r="BA38" s="71"/>
      <c r="BB38" s="71"/>
      <c r="BC38" s="71"/>
      <c r="BD38" s="71"/>
      <c r="BE38" s="71"/>
      <c r="BF38" s="35"/>
      <c r="BG38" s="36" t="n">
        <f aca="false">SUM(E38:BF38)</f>
        <v>0</v>
      </c>
    </row>
    <row r="39" customFormat="false" ht="19.5" hidden="false" customHeight="true" outlineLevel="0" collapsed="false">
      <c r="B39" s="30"/>
      <c r="C39" s="31"/>
      <c r="D39" s="39" t="s">
        <v>12</v>
      </c>
      <c r="E39" s="26"/>
      <c r="F39" s="27"/>
      <c r="G39" s="27"/>
      <c r="H39" s="27"/>
      <c r="I39" s="27"/>
      <c r="J39" s="27"/>
      <c r="K39" s="27"/>
      <c r="L39" s="27"/>
      <c r="M39" s="27"/>
      <c r="N39" s="27"/>
      <c r="O39" s="27"/>
      <c r="P39" s="27"/>
      <c r="Q39" s="70"/>
      <c r="R39" s="70"/>
      <c r="S39" s="70"/>
      <c r="T39" s="70"/>
      <c r="U39" s="70"/>
      <c r="V39" s="70"/>
      <c r="W39" s="70"/>
      <c r="X39" s="70"/>
      <c r="Y39" s="70"/>
      <c r="Z39" s="70"/>
      <c r="AA39" s="70"/>
      <c r="AB39" s="70"/>
      <c r="AC39" s="70"/>
      <c r="AD39" s="70"/>
      <c r="AE39" s="70"/>
      <c r="AF39" s="70"/>
      <c r="AG39" s="70"/>
      <c r="AH39" s="70"/>
      <c r="AI39" s="70"/>
      <c r="AJ39" s="70"/>
      <c r="AK39" s="70"/>
      <c r="AL39" s="70"/>
      <c r="AM39" s="70"/>
      <c r="AN39" s="70"/>
      <c r="AO39" s="70"/>
      <c r="AP39" s="70"/>
      <c r="AQ39" s="70"/>
      <c r="AR39" s="70"/>
      <c r="AS39" s="70"/>
      <c r="AT39" s="70"/>
      <c r="AU39" s="70"/>
      <c r="AV39" s="70"/>
      <c r="AW39" s="70"/>
      <c r="AX39" s="70"/>
      <c r="AY39" s="70"/>
      <c r="AZ39" s="70"/>
      <c r="BA39" s="70"/>
      <c r="BB39" s="70"/>
      <c r="BC39" s="70"/>
      <c r="BD39" s="70"/>
      <c r="BE39" s="70"/>
      <c r="BF39" s="28"/>
      <c r="BG39" s="29" t="n">
        <f aca="false">SUM(E39:BF39)</f>
        <v>0</v>
      </c>
    </row>
    <row r="40" customFormat="false" ht="19.5" hidden="false" customHeight="true" outlineLevel="0" collapsed="false">
      <c r="B40" s="30" t="n">
        <v>18</v>
      </c>
      <c r="C40" s="31" t="s">
        <v>10</v>
      </c>
      <c r="D40" s="38" t="s">
        <v>11</v>
      </c>
      <c r="E40" s="33"/>
      <c r="F40" s="34"/>
      <c r="G40" s="34"/>
      <c r="H40" s="34"/>
      <c r="I40" s="34"/>
      <c r="J40" s="34"/>
      <c r="K40" s="34"/>
      <c r="L40" s="34"/>
      <c r="M40" s="34"/>
      <c r="N40" s="34"/>
      <c r="O40" s="34"/>
      <c r="P40" s="34"/>
      <c r="Q40" s="71"/>
      <c r="R40" s="71"/>
      <c r="S40" s="71"/>
      <c r="T40" s="71"/>
      <c r="U40" s="71"/>
      <c r="V40" s="71"/>
      <c r="W40" s="71"/>
      <c r="X40" s="71"/>
      <c r="Y40" s="71"/>
      <c r="Z40" s="71"/>
      <c r="AA40" s="71"/>
      <c r="AB40" s="71"/>
      <c r="AC40" s="71"/>
      <c r="AD40" s="71"/>
      <c r="AE40" s="71"/>
      <c r="AF40" s="71"/>
      <c r="AG40" s="71"/>
      <c r="AH40" s="71"/>
      <c r="AI40" s="71"/>
      <c r="AJ40" s="71"/>
      <c r="AK40" s="71"/>
      <c r="AL40" s="71"/>
      <c r="AM40" s="71"/>
      <c r="AN40" s="71"/>
      <c r="AO40" s="71"/>
      <c r="AP40" s="71"/>
      <c r="AQ40" s="71"/>
      <c r="AR40" s="71"/>
      <c r="AS40" s="71"/>
      <c r="AT40" s="71"/>
      <c r="AU40" s="71"/>
      <c r="AV40" s="71"/>
      <c r="AW40" s="71"/>
      <c r="AX40" s="71"/>
      <c r="AY40" s="71"/>
      <c r="AZ40" s="71"/>
      <c r="BA40" s="71"/>
      <c r="BB40" s="71"/>
      <c r="BC40" s="71"/>
      <c r="BD40" s="71"/>
      <c r="BE40" s="71"/>
      <c r="BF40" s="35"/>
      <c r="BG40" s="36" t="n">
        <f aca="false">SUM(E40:BF40)</f>
        <v>0</v>
      </c>
    </row>
    <row r="41" customFormat="false" ht="19.5" hidden="false" customHeight="true" outlineLevel="0" collapsed="false">
      <c r="B41" s="30"/>
      <c r="C41" s="31"/>
      <c r="D41" s="39" t="s">
        <v>12</v>
      </c>
      <c r="E41" s="26"/>
      <c r="F41" s="27"/>
      <c r="G41" s="27"/>
      <c r="H41" s="27"/>
      <c r="I41" s="27"/>
      <c r="J41" s="27"/>
      <c r="K41" s="27"/>
      <c r="L41" s="27"/>
      <c r="M41" s="27"/>
      <c r="N41" s="27"/>
      <c r="O41" s="27"/>
      <c r="P41" s="27"/>
      <c r="Q41" s="70"/>
      <c r="R41" s="70"/>
      <c r="S41" s="70"/>
      <c r="T41" s="70"/>
      <c r="U41" s="70"/>
      <c r="V41" s="70"/>
      <c r="W41" s="70"/>
      <c r="X41" s="70"/>
      <c r="Y41" s="70"/>
      <c r="Z41" s="70"/>
      <c r="AA41" s="70"/>
      <c r="AB41" s="70"/>
      <c r="AC41" s="70"/>
      <c r="AD41" s="70"/>
      <c r="AE41" s="70"/>
      <c r="AF41" s="70"/>
      <c r="AG41" s="70"/>
      <c r="AH41" s="70"/>
      <c r="AI41" s="70"/>
      <c r="AJ41" s="70"/>
      <c r="AK41" s="70"/>
      <c r="AL41" s="70"/>
      <c r="AM41" s="70"/>
      <c r="AN41" s="70"/>
      <c r="AO41" s="70"/>
      <c r="AP41" s="70"/>
      <c r="AQ41" s="70"/>
      <c r="AR41" s="70"/>
      <c r="AS41" s="70"/>
      <c r="AT41" s="70"/>
      <c r="AU41" s="70"/>
      <c r="AV41" s="70"/>
      <c r="AW41" s="70"/>
      <c r="AX41" s="70"/>
      <c r="AY41" s="70"/>
      <c r="AZ41" s="70"/>
      <c r="BA41" s="70"/>
      <c r="BB41" s="70"/>
      <c r="BC41" s="70"/>
      <c r="BD41" s="70"/>
      <c r="BE41" s="70"/>
      <c r="BF41" s="28"/>
      <c r="BG41" s="29" t="n">
        <f aca="false">SUM(E41:BF41)</f>
        <v>0</v>
      </c>
    </row>
    <row r="42" customFormat="false" ht="19.5" hidden="false" customHeight="true" outlineLevel="0" collapsed="false">
      <c r="B42" s="30" t="n">
        <v>19</v>
      </c>
      <c r="C42" s="40" t="s">
        <v>10</v>
      </c>
      <c r="D42" s="38" t="s">
        <v>11</v>
      </c>
      <c r="E42" s="33"/>
      <c r="F42" s="34"/>
      <c r="G42" s="34"/>
      <c r="H42" s="34"/>
      <c r="I42" s="34"/>
      <c r="J42" s="34"/>
      <c r="K42" s="34"/>
      <c r="L42" s="34"/>
      <c r="M42" s="34"/>
      <c r="N42" s="34"/>
      <c r="O42" s="34"/>
      <c r="P42" s="34"/>
      <c r="Q42" s="71"/>
      <c r="R42" s="71"/>
      <c r="S42" s="71"/>
      <c r="T42" s="71"/>
      <c r="U42" s="71"/>
      <c r="V42" s="71"/>
      <c r="W42" s="71"/>
      <c r="X42" s="71"/>
      <c r="Y42" s="71"/>
      <c r="Z42" s="71"/>
      <c r="AA42" s="71"/>
      <c r="AB42" s="71"/>
      <c r="AC42" s="71"/>
      <c r="AD42" s="71"/>
      <c r="AE42" s="71"/>
      <c r="AF42" s="71"/>
      <c r="AG42" s="71"/>
      <c r="AH42" s="71"/>
      <c r="AI42" s="71"/>
      <c r="AJ42" s="71"/>
      <c r="AK42" s="71"/>
      <c r="AL42" s="71"/>
      <c r="AM42" s="71"/>
      <c r="AN42" s="71"/>
      <c r="AO42" s="71"/>
      <c r="AP42" s="71"/>
      <c r="AQ42" s="71"/>
      <c r="AR42" s="71"/>
      <c r="AS42" s="71"/>
      <c r="AT42" s="71"/>
      <c r="AU42" s="71"/>
      <c r="AV42" s="71"/>
      <c r="AW42" s="71"/>
      <c r="AX42" s="71"/>
      <c r="AY42" s="71"/>
      <c r="AZ42" s="71"/>
      <c r="BA42" s="71"/>
      <c r="BB42" s="71"/>
      <c r="BC42" s="71"/>
      <c r="BD42" s="71"/>
      <c r="BE42" s="71"/>
      <c r="BF42" s="35"/>
      <c r="BG42" s="36" t="n">
        <f aca="false">SUM(E42:BF42)</f>
        <v>0</v>
      </c>
      <c r="BI42" s="13" t="s">
        <v>13</v>
      </c>
    </row>
    <row r="43" customFormat="false" ht="19.5" hidden="false" customHeight="true" outlineLevel="0" collapsed="false">
      <c r="B43" s="30"/>
      <c r="C43" s="40"/>
      <c r="D43" s="39" t="s">
        <v>12</v>
      </c>
      <c r="E43" s="26"/>
      <c r="F43" s="27"/>
      <c r="G43" s="27"/>
      <c r="H43" s="27"/>
      <c r="I43" s="27"/>
      <c r="J43" s="27"/>
      <c r="K43" s="27"/>
      <c r="L43" s="27"/>
      <c r="M43" s="27"/>
      <c r="N43" s="27"/>
      <c r="O43" s="27"/>
      <c r="P43" s="27"/>
      <c r="Q43" s="70"/>
      <c r="R43" s="70"/>
      <c r="S43" s="70"/>
      <c r="T43" s="70"/>
      <c r="U43" s="70"/>
      <c r="V43" s="70"/>
      <c r="W43" s="70"/>
      <c r="X43" s="70"/>
      <c r="Y43" s="70"/>
      <c r="Z43" s="70"/>
      <c r="AA43" s="70"/>
      <c r="AB43" s="70"/>
      <c r="AC43" s="70"/>
      <c r="AD43" s="70"/>
      <c r="AE43" s="70"/>
      <c r="AF43" s="70"/>
      <c r="AG43" s="70"/>
      <c r="AH43" s="70"/>
      <c r="AI43" s="70"/>
      <c r="AJ43" s="70"/>
      <c r="AK43" s="70"/>
      <c r="AL43" s="70"/>
      <c r="AM43" s="70"/>
      <c r="AN43" s="70"/>
      <c r="AO43" s="70"/>
      <c r="AP43" s="70"/>
      <c r="AQ43" s="70"/>
      <c r="AR43" s="70"/>
      <c r="AS43" s="70"/>
      <c r="AT43" s="70"/>
      <c r="AU43" s="70"/>
      <c r="AV43" s="70"/>
      <c r="AW43" s="70"/>
      <c r="AX43" s="70"/>
      <c r="AY43" s="70"/>
      <c r="AZ43" s="70"/>
      <c r="BA43" s="70"/>
      <c r="BB43" s="70"/>
      <c r="BC43" s="70"/>
      <c r="BD43" s="70"/>
      <c r="BE43" s="70"/>
      <c r="BF43" s="28"/>
      <c r="BG43" s="29" t="n">
        <f aca="false">SUM(E43:BF43)</f>
        <v>0</v>
      </c>
      <c r="BI43" s="13" t="s">
        <v>14</v>
      </c>
    </row>
    <row r="44" customFormat="false" ht="19.5" hidden="false" customHeight="true" outlineLevel="0" collapsed="false">
      <c r="B44" s="41" t="n">
        <v>20</v>
      </c>
      <c r="C44" s="42" t="s">
        <v>10</v>
      </c>
      <c r="D44" s="38" t="s">
        <v>11</v>
      </c>
      <c r="E44" s="33"/>
      <c r="F44" s="34"/>
      <c r="G44" s="34"/>
      <c r="H44" s="34"/>
      <c r="I44" s="34"/>
      <c r="J44" s="34"/>
      <c r="K44" s="34"/>
      <c r="L44" s="34"/>
      <c r="M44" s="34"/>
      <c r="N44" s="34"/>
      <c r="O44" s="34"/>
      <c r="P44" s="34"/>
      <c r="Q44" s="71"/>
      <c r="R44" s="71"/>
      <c r="S44" s="71"/>
      <c r="T44" s="71"/>
      <c r="U44" s="71"/>
      <c r="V44" s="71"/>
      <c r="W44" s="71"/>
      <c r="X44" s="71"/>
      <c r="Y44" s="71"/>
      <c r="Z44" s="71"/>
      <c r="AA44" s="71"/>
      <c r="AB44" s="71"/>
      <c r="AC44" s="71"/>
      <c r="AD44" s="71"/>
      <c r="AE44" s="71"/>
      <c r="AF44" s="71"/>
      <c r="AG44" s="71"/>
      <c r="AH44" s="71"/>
      <c r="AI44" s="71"/>
      <c r="AJ44" s="71"/>
      <c r="AK44" s="71"/>
      <c r="AL44" s="71"/>
      <c r="AM44" s="71"/>
      <c r="AN44" s="71"/>
      <c r="AO44" s="71"/>
      <c r="AP44" s="71"/>
      <c r="AQ44" s="71"/>
      <c r="AR44" s="71"/>
      <c r="AS44" s="71"/>
      <c r="AT44" s="71"/>
      <c r="AU44" s="71"/>
      <c r="AV44" s="71"/>
      <c r="AW44" s="71"/>
      <c r="AX44" s="71"/>
      <c r="AY44" s="71"/>
      <c r="AZ44" s="71"/>
      <c r="BA44" s="71"/>
      <c r="BB44" s="71"/>
      <c r="BC44" s="71"/>
      <c r="BD44" s="71"/>
      <c r="BE44" s="71"/>
      <c r="BF44" s="35"/>
      <c r="BG44" s="36" t="n">
        <f aca="false">SUM(E44:BF44)</f>
        <v>0</v>
      </c>
    </row>
    <row r="45" customFormat="false" ht="19.5" hidden="false" customHeight="true" outlineLevel="0" collapsed="false">
      <c r="B45" s="41"/>
      <c r="C45" s="42"/>
      <c r="D45" s="43" t="s">
        <v>12</v>
      </c>
      <c r="E45" s="26"/>
      <c r="F45" s="27"/>
      <c r="G45" s="27"/>
      <c r="H45" s="27"/>
      <c r="I45" s="27"/>
      <c r="J45" s="27"/>
      <c r="K45" s="27"/>
      <c r="L45" s="27"/>
      <c r="M45" s="27"/>
      <c r="N45" s="27"/>
      <c r="O45" s="27"/>
      <c r="P45" s="27"/>
      <c r="Q45" s="70"/>
      <c r="R45" s="70"/>
      <c r="S45" s="70"/>
      <c r="T45" s="70"/>
      <c r="U45" s="70"/>
      <c r="V45" s="70"/>
      <c r="W45" s="70"/>
      <c r="X45" s="70"/>
      <c r="Y45" s="70"/>
      <c r="Z45" s="70"/>
      <c r="AA45" s="70"/>
      <c r="AB45" s="70"/>
      <c r="AC45" s="70"/>
      <c r="AD45" s="70"/>
      <c r="AE45" s="70"/>
      <c r="AF45" s="70"/>
      <c r="AG45" s="70"/>
      <c r="AH45" s="70"/>
      <c r="AI45" s="70"/>
      <c r="AJ45" s="70"/>
      <c r="AK45" s="70"/>
      <c r="AL45" s="70"/>
      <c r="AM45" s="70"/>
      <c r="AN45" s="70"/>
      <c r="AO45" s="70"/>
      <c r="AP45" s="70"/>
      <c r="AQ45" s="70"/>
      <c r="AR45" s="70"/>
      <c r="AS45" s="70"/>
      <c r="AT45" s="70"/>
      <c r="AU45" s="70"/>
      <c r="AV45" s="70"/>
      <c r="AW45" s="70"/>
      <c r="AX45" s="70"/>
      <c r="AY45" s="70"/>
      <c r="AZ45" s="70"/>
      <c r="BA45" s="70"/>
      <c r="BB45" s="70"/>
      <c r="BC45" s="70"/>
      <c r="BD45" s="70"/>
      <c r="BE45" s="70"/>
      <c r="BF45" s="28"/>
      <c r="BG45" s="44" t="n">
        <f aca="false">SUM(E45:BF45)</f>
        <v>0</v>
      </c>
    </row>
    <row r="46" customFormat="false" ht="19.5" hidden="false" customHeight="true" outlineLevel="0" collapsed="false">
      <c r="B46" s="45"/>
      <c r="C46" s="46" t="s">
        <v>15</v>
      </c>
      <c r="D46" s="47" t="s">
        <v>11</v>
      </c>
      <c r="E46" s="48" t="n">
        <f aca="false" t="array" ref="E46:E46">SUM(E6:E45 *(MOD(ROW(E6:E45), 2) = 0))</f>
        <v>11</v>
      </c>
      <c r="F46" s="48" t="n">
        <f aca="false" t="array" ref="F46:F46">SUM(F6:F45 *(MOD(ROW(F6:F45), 2) = 0))</f>
        <v>8</v>
      </c>
      <c r="G46" s="48" t="n">
        <f aca="false" t="array" ref="G46:G46">SUM(G6:G45 *(MOD(ROW(G6:G45), 2) = 0))</f>
        <v>20</v>
      </c>
      <c r="H46" s="48" t="n">
        <f aca="false" t="array" ref="H46:H46">SUM(H6:H45 *(MOD(ROW(H6:H45), 2) = 0))</f>
        <v>4</v>
      </c>
      <c r="I46" s="48" t="n">
        <f aca="false" t="array" ref="I46:I46">SUM(I6:I45 *(MOD(ROW(I6:I45), 2) = 0))</f>
        <v>10</v>
      </c>
      <c r="J46" s="48" t="n">
        <f aca="false" t="array" ref="J46:J46">SUM(J6:J45 *(MOD(ROW(J6:J45), 2) = 0))</f>
        <v>0</v>
      </c>
      <c r="K46" s="48" t="n">
        <f aca="false" t="array" ref="K46:K46">SUM(K6:K45 *(MOD(ROW(K6:K45), 2) = 0))</f>
        <v>0</v>
      </c>
      <c r="L46" s="48" t="n">
        <f aca="false" t="array" ref="L46:L46">SUM(L6:L45 *(MOD(ROW(L6:L45), 2) = 0))</f>
        <v>0</v>
      </c>
      <c r="M46" s="48" t="n">
        <f aca="false" t="array" ref="M46:M46">SUM(M6:M45 *(MOD(ROW(M6:M45), 2) = 0))</f>
        <v>0</v>
      </c>
      <c r="N46" s="48" t="n">
        <f aca="false" t="array" ref="N46:N46">SUM(N6:N45 *(MOD(ROW(N6:N45), 2) = 0))</f>
        <v>0</v>
      </c>
      <c r="O46" s="48" t="n">
        <f aca="false" t="array" ref="O46:O46">SUM(O6:O45 *(MOD(ROW(O6:O45), 2) = 0))</f>
        <v>0</v>
      </c>
      <c r="P46" s="48" t="n">
        <f aca="false" t="array" ref="P46:P46">SUM(P6:P45 *(MOD(ROW(P6:P45), 2) = 0))</f>
        <v>0</v>
      </c>
      <c r="Q46" s="48" t="n">
        <f aca="false" t="array" ref="Q46:Q46">SUM(Q6:Q45 *(MOD(ROW(Q6:Q45), 2) = 0))</f>
        <v>0</v>
      </c>
      <c r="R46" s="48" t="n">
        <f aca="false" t="array" ref="R46:R46">SUM(R6:R45 *(MOD(ROW(R6:R45), 2) = 0))</f>
        <v>0</v>
      </c>
      <c r="S46" s="48" t="n">
        <f aca="false" t="array" ref="S46:S46">SUM(S6:S45 *(MOD(ROW(S6:S45), 2) = 0))</f>
        <v>0</v>
      </c>
      <c r="T46" s="48" t="n">
        <f aca="false" t="array" ref="T46:T46">SUM(T6:T45 *(MOD(ROW(T6:T45), 2) = 0))</f>
        <v>0</v>
      </c>
      <c r="U46" s="48" t="n">
        <f aca="false" t="array" ref="U46:U46">SUM(U6:U45 *(MOD(ROW(U6:U45), 2) = 0))</f>
        <v>0</v>
      </c>
      <c r="V46" s="48" t="n">
        <f aca="false" t="array" ref="V46:V46">SUM(V6:V45 *(MOD(ROW(V6:V45), 2) = 0))</f>
        <v>0</v>
      </c>
      <c r="W46" s="48" t="n">
        <f aca="false" t="array" ref="W46:W46">SUM(W6:W45 *(MOD(ROW(W6:W45), 2) = 0))</f>
        <v>0</v>
      </c>
      <c r="X46" s="48" t="n">
        <f aca="false" t="array" ref="X46:X46">SUM(X6:X45 *(MOD(ROW(X6:X45), 2) = 0))</f>
        <v>0</v>
      </c>
      <c r="Y46" s="48" t="n">
        <f aca="false" t="array" ref="Y46:Y46">SUM(Y6:Y45 *(MOD(ROW(Y6:Y45), 2) = 0))</f>
        <v>0</v>
      </c>
      <c r="Z46" s="48" t="n">
        <f aca="false" t="array" ref="Z46:Z46">SUM(Z6:Z45 *(MOD(ROW(Z6:Z45), 2) = 0))</f>
        <v>0</v>
      </c>
      <c r="AA46" s="48" t="n">
        <f aca="false" t="array" ref="AA46:AA46">SUM(AA6:AA45 *(MOD(ROW(AA6:AA45), 2) = 0))</f>
        <v>0</v>
      </c>
      <c r="AB46" s="48" t="n">
        <f aca="false" t="array" ref="AB46:AB46">SUM(AB6:AB45 *(MOD(ROW(AB6:AB45), 2) = 0))</f>
        <v>0</v>
      </c>
      <c r="AC46" s="48" t="n">
        <f aca="false" t="array" ref="AC46:AC46">SUM(AC6:AC45 *(MOD(ROW(AC6:AC45), 2) = 0))</f>
        <v>0</v>
      </c>
      <c r="AD46" s="48" t="n">
        <f aca="false" t="array" ref="AD46:AD46">SUM(AD6:AD45 *(MOD(ROW(AD6:AD45), 2) = 0))</f>
        <v>0</v>
      </c>
      <c r="AE46" s="48" t="n">
        <f aca="false" t="array" ref="AE46:AE46">SUM(AE6:AE45 *(MOD(ROW(AE6:AE45), 2) = 0))</f>
        <v>0</v>
      </c>
      <c r="AF46" s="48" t="n">
        <f aca="false" t="array" ref="AF46:AF46">SUM(AF6:AF45 *(MOD(ROW(AF6:AF45), 2) = 0))</f>
        <v>0</v>
      </c>
      <c r="AG46" s="48" t="n">
        <f aca="false" t="array" ref="AG46:AG46">SUM(AG6:AG45 *(MOD(ROW(AG6:AG45), 2) = 0))</f>
        <v>0</v>
      </c>
      <c r="AH46" s="48" t="n">
        <f aca="false" t="array" ref="AH46:AH46">SUM(AH6:AH45 *(MOD(ROW(AH6:AH45), 2) = 0))</f>
        <v>0</v>
      </c>
      <c r="AI46" s="48" t="n">
        <f aca="false" t="array" ref="AI46:AI46">SUM(AI6:AI45 *(MOD(ROW(AI6:AI45), 2) = 0))</f>
        <v>0</v>
      </c>
      <c r="AJ46" s="48" t="n">
        <f aca="false" t="array" ref="AJ46:AJ46">SUM(AJ6:AJ45 *(MOD(ROW(AJ6:AJ45), 2) = 0))</f>
        <v>0</v>
      </c>
      <c r="AK46" s="48" t="n">
        <f aca="false" t="array" ref="AK46:AK46">SUM(AK6:AK45 *(MOD(ROW(AK6:AK45), 2) = 0))</f>
        <v>0</v>
      </c>
      <c r="AL46" s="48" t="n">
        <f aca="false" t="array" ref="AL46:AL46">SUM(AL6:AL45 *(MOD(ROW(AL6:AL45), 2) = 0))</f>
        <v>0</v>
      </c>
      <c r="AM46" s="48" t="n">
        <f aca="false" t="array" ref="AM46:AM46">SUM(AM6:AM45 *(MOD(ROW(AM6:AM45), 2) = 0))</f>
        <v>0</v>
      </c>
      <c r="AN46" s="48" t="n">
        <f aca="false" t="array" ref="AN46:AN46">SUM(AN6:AN45 *(MOD(ROW(AN6:AN45), 2) = 0))</f>
        <v>0</v>
      </c>
      <c r="AO46" s="48" t="n">
        <f aca="false" t="array" ref="AO46:AO46">SUM(AO6:AO45 *(MOD(ROW(AO6:AO45), 2) = 0))</f>
        <v>0</v>
      </c>
      <c r="AP46" s="48" t="n">
        <f aca="false" t="array" ref="AP46:AP46">SUM(AP6:AP45 *(MOD(ROW(AP6:AP45), 2) = 0))</f>
        <v>0</v>
      </c>
      <c r="AQ46" s="48" t="n">
        <f aca="false" t="array" ref="AQ46:AQ46">SUM(AQ6:AQ45 *(MOD(ROW(AQ6:AQ45), 2) = 0))</f>
        <v>0</v>
      </c>
      <c r="AR46" s="48" t="n">
        <f aca="false" t="array" ref="AR46:AR46">SUM(AR6:AR45 *(MOD(ROW(AR6:AR45), 2) = 0))</f>
        <v>0</v>
      </c>
      <c r="AS46" s="48" t="n">
        <f aca="false" t="array" ref="AS46:AS46">SUM(AS6:AS45 *(MOD(ROW(AS6:AS45), 2) = 0))</f>
        <v>0</v>
      </c>
      <c r="AT46" s="48" t="n">
        <f aca="false" t="array" ref="AT46:AT46">SUM(AT6:AT45 *(MOD(ROW(AT6:AT45), 2) = 0))</f>
        <v>0</v>
      </c>
      <c r="AU46" s="48" t="n">
        <f aca="false" t="array" ref="AU46:AU46">SUM(AU6:AU45 *(MOD(ROW(AU6:AU45), 2) = 0))</f>
        <v>0</v>
      </c>
      <c r="AV46" s="48" t="n">
        <f aca="false" t="array" ref="AV46:AV46">SUM(AV6:AV45 *(MOD(ROW(AV6:AV45), 2) = 0))</f>
        <v>0</v>
      </c>
      <c r="AW46" s="48" t="n">
        <f aca="false" t="array" ref="AW46:AW46">SUM(AW6:AW45 *(MOD(ROW(AW6:AW45), 2) = 0))</f>
        <v>0</v>
      </c>
      <c r="AX46" s="48" t="n">
        <f aca="false" t="array" ref="AX46:AX46">SUM(AX6:AX45 *(MOD(ROW(AX6:AX45), 2) = 0))</f>
        <v>0</v>
      </c>
      <c r="AY46" s="48" t="n">
        <f aca="false" t="array" ref="AY46:AY46">SUM(AY6:AY45 *(MOD(ROW(AY6:AY45), 2) = 0))</f>
        <v>0</v>
      </c>
      <c r="AZ46" s="48" t="n">
        <f aca="false" t="array" ref="AZ46:AZ46">SUM(AZ6:AZ45 *(MOD(ROW(AZ6:AZ45), 2) = 0))</f>
        <v>0</v>
      </c>
      <c r="BA46" s="48" t="n">
        <f aca="false" t="array" ref="BA46:BA46">SUM(BA6:BA45 *(MOD(ROW(BA6:BA45), 2) = 0))</f>
        <v>0</v>
      </c>
      <c r="BB46" s="48" t="n">
        <f aca="false" t="array" ref="BB46:BB46">SUM(BB6:BB45 *(MOD(ROW(BB6:BB45), 2) = 0))</f>
        <v>0</v>
      </c>
      <c r="BC46" s="48" t="n">
        <f aca="false" t="array" ref="BC46:BC46">SUM(BC6:BC45 *(MOD(ROW(BC6:BC45), 2) = 0))</f>
        <v>0</v>
      </c>
      <c r="BD46" s="48" t="n">
        <f aca="false" t="array" ref="BD46:BD46">SUM(BD6:BD45 *(MOD(ROW(BD6:BD45), 2) = 0))</f>
        <v>0</v>
      </c>
      <c r="BE46" s="48" t="n">
        <f aca="false" t="array" ref="BE46:BE46">SUM(BE6:BE45 *(MOD(ROW(BE6:BE45), 2) = 0))</f>
        <v>0</v>
      </c>
      <c r="BF46" s="48" t="n">
        <f aca="false" t="array" ref="BF46:BF46">SUM(BF6:BF45 *(MOD(ROW(BF6:BF45), 2) = 0))</f>
        <v>0</v>
      </c>
      <c r="BG46" s="49" t="n">
        <f aca="false">SUM(E46:BF46)</f>
        <v>53</v>
      </c>
    </row>
    <row r="47" customFormat="false" ht="19.5" hidden="false" customHeight="true" outlineLevel="0" collapsed="false">
      <c r="B47" s="50"/>
      <c r="C47" s="51" t="s">
        <v>16</v>
      </c>
      <c r="D47" s="52" t="s">
        <v>11</v>
      </c>
      <c r="E47" s="53" t="n">
        <f aca="false">E46</f>
        <v>11</v>
      </c>
      <c r="F47" s="53" t="n">
        <f aca="false">IF(F46=0,"",_xlfn.AGGREGATE(4,6,E47)+F46)</f>
        <v>19</v>
      </c>
      <c r="G47" s="53" t="n">
        <f aca="false">IF(G46=0,"",_xlfn.AGGREGATE(4,6,E47:F47)+G46)</f>
        <v>39</v>
      </c>
      <c r="H47" s="53" t="n">
        <f aca="false">IF(H46=0,"",_xlfn.AGGREGATE(4,6,E47:G47)+H46)</f>
        <v>43</v>
      </c>
      <c r="I47" s="53" t="n">
        <f aca="false">IF(I46=0,"",_xlfn.AGGREGATE(4,6,E47:H47)+I46)</f>
        <v>53</v>
      </c>
      <c r="J47" s="53" t="str">
        <f aca="false">IF(J46=0,"",_xlfn.AGGREGATE(4,6,E47:I47)+J46)</f>
        <v/>
      </c>
      <c r="K47" s="53" t="str">
        <f aca="false">IF(K46=0,"",_xlfn.AGGREGATE(4,6,E47:J47)+K46)</f>
        <v/>
      </c>
      <c r="L47" s="53" t="str">
        <f aca="false">IF(L46=0,"",_xlfn.AGGREGATE(4,6,E47:K47)+L46)</f>
        <v/>
      </c>
      <c r="M47" s="53" t="str">
        <f aca="false">IF(M46=0,"",_xlfn.AGGREGATE(4,6,E47:L47)+M46)</f>
        <v/>
      </c>
      <c r="N47" s="53" t="str">
        <f aca="false">IF(N46=0,"",_xlfn.AGGREGATE(4,6,E47:M47)+N46)</f>
        <v/>
      </c>
      <c r="O47" s="53" t="str">
        <f aca="false">IF(O46=0,"",_xlfn.AGGREGATE(4,6,E47:N47)+O46)</f>
        <v/>
      </c>
      <c r="P47" s="53" t="str">
        <f aca="false">IF(P46=0,"",_xlfn.AGGREGATE(4,6,E47:O47)+P46)</f>
        <v/>
      </c>
      <c r="Q47" s="53" t="str">
        <f aca="false">IF(Q46=0,"",_xlfn.AGGREGATE(4,6,F47:P47)+Q46)</f>
        <v/>
      </c>
      <c r="R47" s="53" t="str">
        <f aca="false">IF(R46=0,"",_xlfn.AGGREGATE(4,6,G47:Q47)+R46)</f>
        <v/>
      </c>
      <c r="S47" s="53" t="str">
        <f aca="false">IF(S46=0,"",_xlfn.AGGREGATE(4,6,H47:R47)+S46)</f>
        <v/>
      </c>
      <c r="T47" s="53" t="str">
        <f aca="false">IF(T46=0,"",_xlfn.AGGREGATE(4,6,I47:S47)+T46)</f>
        <v/>
      </c>
      <c r="U47" s="53" t="str">
        <f aca="false">IF(U46=0,"",_xlfn.AGGREGATE(4,6,J47:T47)+U46)</f>
        <v/>
      </c>
      <c r="V47" s="53" t="str">
        <f aca="false">IF(V46=0,"",_xlfn.AGGREGATE(4,6,K47:U47)+V46)</f>
        <v/>
      </c>
      <c r="W47" s="53" t="str">
        <f aca="false">IF(W46=0,"",_xlfn.AGGREGATE(4,6,L47:V47)+W46)</f>
        <v/>
      </c>
      <c r="X47" s="53" t="str">
        <f aca="false">IF(X46=0,"",_xlfn.AGGREGATE(4,6,M47:W47)+X46)</f>
        <v/>
      </c>
      <c r="Y47" s="53" t="str">
        <f aca="false">IF(Y46=0,"",_xlfn.AGGREGATE(4,6,N47:X47)+Y46)</f>
        <v/>
      </c>
      <c r="Z47" s="53" t="str">
        <f aca="false">IF(Z46=0,"",_xlfn.AGGREGATE(4,6,O47:Y47)+Z46)</f>
        <v/>
      </c>
      <c r="AA47" s="53" t="str">
        <f aca="false">IF(AA46=0,"",_xlfn.AGGREGATE(4,6,P47:Z47)+AA46)</f>
        <v/>
      </c>
      <c r="AB47" s="53" t="str">
        <f aca="false">IF(AB46=0,"",_xlfn.AGGREGATE(4,6,Q47:AA47)+AB46)</f>
        <v/>
      </c>
      <c r="AC47" s="53" t="str">
        <f aca="false">IF(AC46=0,"",_xlfn.AGGREGATE(4,6,R47:AB47)+AC46)</f>
        <v/>
      </c>
      <c r="AD47" s="53" t="str">
        <f aca="false">IF(AD46=0,"",_xlfn.AGGREGATE(4,6,S47:AC47)+AD46)</f>
        <v/>
      </c>
      <c r="AE47" s="53" t="str">
        <f aca="false">IF(AE46=0,"",_xlfn.AGGREGATE(4,6,T47:AD47)+AE46)</f>
        <v/>
      </c>
      <c r="AF47" s="53" t="str">
        <f aca="false">IF(AF46=0,"",_xlfn.AGGREGATE(4,6,U47:AE47)+AF46)</f>
        <v/>
      </c>
      <c r="AG47" s="53" t="str">
        <f aca="false">IF(AG46=0,"",_xlfn.AGGREGATE(4,6,V47:AF47)+AG46)</f>
        <v/>
      </c>
      <c r="AH47" s="53" t="str">
        <f aca="false">IF(AH46=0,"",_xlfn.AGGREGATE(4,6,W47:AG47)+AH46)</f>
        <v/>
      </c>
      <c r="AI47" s="53" t="str">
        <f aca="false">IF(AI46=0,"",_xlfn.AGGREGATE(4,6,X47:AH47)+AI46)</f>
        <v/>
      </c>
      <c r="AJ47" s="53" t="str">
        <f aca="false">IF(AJ46=0,"",_xlfn.AGGREGATE(4,6,Y47:AI47)+AJ46)</f>
        <v/>
      </c>
      <c r="AK47" s="53" t="str">
        <f aca="false">IF(AK46=0,"",_xlfn.AGGREGATE(4,6,Z47:AJ47)+AK46)</f>
        <v/>
      </c>
      <c r="AL47" s="53" t="str">
        <f aca="false">IF(AL46=0,"",_xlfn.AGGREGATE(4,6,AA47:AK47)+AL46)</f>
        <v/>
      </c>
      <c r="AM47" s="53" t="str">
        <f aca="false">IF(AM46=0,"",_xlfn.AGGREGATE(4,6,AB47:AL47)+AM46)</f>
        <v/>
      </c>
      <c r="AN47" s="53" t="str">
        <f aca="false">IF(AN46=0,"",_xlfn.AGGREGATE(4,6,AC47:AM47)+AN46)</f>
        <v/>
      </c>
      <c r="AO47" s="53" t="str">
        <f aca="false">IF(AO46=0,"",_xlfn.AGGREGATE(4,6,AD47:AN47)+AO46)</f>
        <v/>
      </c>
      <c r="AP47" s="53" t="str">
        <f aca="false">IF(AP46=0,"",_xlfn.AGGREGATE(4,6,AE47:AO47)+AP46)</f>
        <v/>
      </c>
      <c r="AQ47" s="53" t="str">
        <f aca="false">IF(AQ46=0,"",_xlfn.AGGREGATE(4,6,AF47:AP47)+AQ46)</f>
        <v/>
      </c>
      <c r="AR47" s="53" t="str">
        <f aca="false">IF(AR46=0,"",_xlfn.AGGREGATE(4,6,AG47:AQ47)+AR46)</f>
        <v/>
      </c>
      <c r="AS47" s="53" t="str">
        <f aca="false">IF(AS46=0,"",_xlfn.AGGREGATE(4,6,AH47:AR47)+AS46)</f>
        <v/>
      </c>
      <c r="AT47" s="53" t="str">
        <f aca="false">IF(AT46=0,"",_xlfn.AGGREGATE(4,6,AI47:AS47)+AT46)</f>
        <v/>
      </c>
      <c r="AU47" s="53" t="str">
        <f aca="false">IF(AU46=0,"",_xlfn.AGGREGATE(4,6,AJ47:AT47)+AU46)</f>
        <v/>
      </c>
      <c r="AV47" s="53" t="str">
        <f aca="false">IF(AV46=0,"",_xlfn.AGGREGATE(4,6,AK47:AU47)+AV46)</f>
        <v/>
      </c>
      <c r="AW47" s="53" t="str">
        <f aca="false">IF(AW46=0,"",_xlfn.AGGREGATE(4,6,AL47:AV47)+AW46)</f>
        <v/>
      </c>
      <c r="AX47" s="53" t="str">
        <f aca="false">IF(AX46=0,"",_xlfn.AGGREGATE(4,6,AM47:AW47)+AX46)</f>
        <v/>
      </c>
      <c r="AY47" s="53" t="str">
        <f aca="false">IF(AY46=0,"",_xlfn.AGGREGATE(4,6,AN47:AX47)+AY46)</f>
        <v/>
      </c>
      <c r="AZ47" s="53" t="str">
        <f aca="false">IF(AZ46=0,"",_xlfn.AGGREGATE(4,6,AO47:AY47)+AZ46)</f>
        <v/>
      </c>
      <c r="BA47" s="53" t="str">
        <f aca="false">IF(BA46=0,"",_xlfn.AGGREGATE(4,6,AP47:AZ47)+BA46)</f>
        <v/>
      </c>
      <c r="BB47" s="53" t="str">
        <f aca="false">IF(BB46=0,"",_xlfn.AGGREGATE(4,6,AQ47:BA47)+BB46)</f>
        <v/>
      </c>
      <c r="BC47" s="53" t="str">
        <f aca="false">IF(BC46=0,"",_xlfn.AGGREGATE(4,6,AR47:BB47)+BC46)</f>
        <v/>
      </c>
      <c r="BD47" s="53" t="str">
        <f aca="false">IF(BD46=0,"",_xlfn.AGGREGATE(4,6,AS47:BC47)+BD46)</f>
        <v/>
      </c>
      <c r="BE47" s="53" t="str">
        <f aca="false">IF(BE46=0,"",_xlfn.AGGREGATE(4,6,AT47:BD47)+BE46)</f>
        <v/>
      </c>
      <c r="BF47" s="53" t="str">
        <f aca="false">IF(BF46=0,"",_xlfn.AGGREGATE(4,6,AU47:BE47)+BF46)</f>
        <v/>
      </c>
      <c r="BG47" s="54"/>
    </row>
    <row r="48" customFormat="false" ht="19.5" hidden="false" customHeight="true" outlineLevel="0" collapsed="false">
      <c r="B48" s="50"/>
      <c r="C48" s="51" t="s">
        <v>17</v>
      </c>
      <c r="D48" s="52" t="s">
        <v>12</v>
      </c>
      <c r="E48" s="55" t="n">
        <f aca="false" t="array" ref="E48:E48">SUM(E6:E45 *(MOD(ROW(E6:E45), 2) = 1))</f>
        <v>11</v>
      </c>
      <c r="F48" s="55" t="n">
        <f aca="false" t="array" ref="F48:F48">SUM(F6:F45 *(MOD(ROW(F6:F45), 2) = 1))</f>
        <v>15</v>
      </c>
      <c r="G48" s="55" t="n">
        <f aca="false" t="array" ref="G48:G48">SUM(G6:G45 *(MOD(ROW(G6:G45), 2) = 1))</f>
        <v>24</v>
      </c>
      <c r="H48" s="55" t="n">
        <f aca="false" t="array" ref="H48:H48">SUM(H6:H45 *(MOD(ROW(H6:H45), 2) = 1))</f>
        <v>6</v>
      </c>
      <c r="I48" s="55" t="n">
        <f aca="false" t="array" ref="I48:I48">SUM(I6:I45 *(MOD(ROW(I6:I45), 2) = 1))</f>
        <v>9</v>
      </c>
      <c r="J48" s="55" t="n">
        <f aca="false" t="array" ref="J48:J48">SUM(J6:J45 *(MOD(ROW(J6:J45), 2) = 1))</f>
        <v>0</v>
      </c>
      <c r="K48" s="55" t="n">
        <f aca="false" t="array" ref="K48:K48">SUM(K6:K45 *(MOD(ROW(K6:K45), 2) = 1))</f>
        <v>0</v>
      </c>
      <c r="L48" s="55" t="n">
        <f aca="false" t="array" ref="L48:L48">SUM(L6:L45 *(MOD(ROW(L6:L45), 2) = 1))</f>
        <v>0</v>
      </c>
      <c r="M48" s="55" t="n">
        <f aca="false" t="array" ref="M48:M48">SUM(M6:M45 *(MOD(ROW(M6:M45), 2) = 1))</f>
        <v>0</v>
      </c>
      <c r="N48" s="55" t="n">
        <f aca="false" t="array" ref="N48:N48">SUM(N6:N45 *(MOD(ROW(N6:N45), 2) = 1))</f>
        <v>0</v>
      </c>
      <c r="O48" s="55" t="n">
        <f aca="false" t="array" ref="O48:O48">SUM(O6:O45 *(MOD(ROW(O6:O45), 2) = 1))</f>
        <v>0</v>
      </c>
      <c r="P48" s="55" t="n">
        <f aca="false" t="array" ref="P48:P48">SUM(P6:P45 *(MOD(ROW(P6:P45), 2) = 1))</f>
        <v>0</v>
      </c>
      <c r="Q48" s="55" t="n">
        <f aca="false" t="array" ref="Q48:Q48">SUM(Q6:Q45 *(MOD(ROW(Q6:Q45), 2) = 1))</f>
        <v>0</v>
      </c>
      <c r="R48" s="55" t="n">
        <f aca="false" t="array" ref="R48:R48">SUM(R6:R45 *(MOD(ROW(R6:R45), 2) = 1))</f>
        <v>0</v>
      </c>
      <c r="S48" s="55" t="n">
        <f aca="false" t="array" ref="S48:S48">SUM(S6:S45 *(MOD(ROW(S6:S45), 2) = 1))</f>
        <v>0</v>
      </c>
      <c r="T48" s="55" t="n">
        <f aca="false" t="array" ref="T48:T48">SUM(T6:T45 *(MOD(ROW(T6:T45), 2) = 1))</f>
        <v>0</v>
      </c>
      <c r="U48" s="55" t="n">
        <f aca="false" t="array" ref="U48:U48">SUM(U6:U45 *(MOD(ROW(U6:U45), 2) = 1))</f>
        <v>0</v>
      </c>
      <c r="V48" s="55" t="n">
        <f aca="false" t="array" ref="V48:V48">SUM(V6:V45 *(MOD(ROW(V6:V45), 2) = 1))</f>
        <v>0</v>
      </c>
      <c r="W48" s="55" t="n">
        <f aca="false" t="array" ref="W48:W48">SUM(W6:W45 *(MOD(ROW(W6:W45), 2) = 1))</f>
        <v>0</v>
      </c>
      <c r="X48" s="55" t="n">
        <f aca="false" t="array" ref="X48:X48">SUM(X6:X45 *(MOD(ROW(X6:X45), 2) = 1))</f>
        <v>0</v>
      </c>
      <c r="Y48" s="55" t="n">
        <f aca="false" t="array" ref="Y48:Y48">SUM(Y6:Y45 *(MOD(ROW(Y6:Y45), 2) = 1))</f>
        <v>0</v>
      </c>
      <c r="Z48" s="55" t="n">
        <f aca="false" t="array" ref="Z48:Z48">SUM(Z6:Z45 *(MOD(ROW(Z6:Z45), 2) = 1))</f>
        <v>0</v>
      </c>
      <c r="AA48" s="55" t="n">
        <f aca="false" t="array" ref="AA48:AA48">SUM(AA6:AA45 *(MOD(ROW(AA6:AA45), 2) = 1))</f>
        <v>0</v>
      </c>
      <c r="AB48" s="55" t="n">
        <f aca="false" t="array" ref="AB48:AB48">SUM(AB6:AB45 *(MOD(ROW(AB6:AB45), 2) = 1))</f>
        <v>0</v>
      </c>
      <c r="AC48" s="55" t="n">
        <f aca="false" t="array" ref="AC48:AC48">SUM(AC6:AC45 *(MOD(ROW(AC6:AC45), 2) = 1))</f>
        <v>0</v>
      </c>
      <c r="AD48" s="55" t="n">
        <f aca="false" t="array" ref="AD48:AD48">SUM(AD6:AD45 *(MOD(ROW(AD6:AD45), 2) = 1))</f>
        <v>0</v>
      </c>
      <c r="AE48" s="55" t="n">
        <f aca="false" t="array" ref="AE48:AE48">SUM(AE6:AE45 *(MOD(ROW(AE6:AE45), 2) = 1))</f>
        <v>0</v>
      </c>
      <c r="AF48" s="55" t="n">
        <f aca="false" t="array" ref="AF48:AF48">SUM(AF6:AF45 *(MOD(ROW(AF6:AF45), 2) = 1))</f>
        <v>0</v>
      </c>
      <c r="AG48" s="55" t="n">
        <f aca="false" t="array" ref="AG48:AG48">SUM(AG6:AG45 *(MOD(ROW(AG6:AG45), 2) = 1))</f>
        <v>0</v>
      </c>
      <c r="AH48" s="55" t="n">
        <f aca="false" t="array" ref="AH48:AH48">SUM(AH6:AH45 *(MOD(ROW(AH6:AH45), 2) = 1))</f>
        <v>0</v>
      </c>
      <c r="AI48" s="55" t="n">
        <f aca="false" t="array" ref="AI48:AI48">SUM(AI6:AI45 *(MOD(ROW(AI6:AI45), 2) = 1))</f>
        <v>0</v>
      </c>
      <c r="AJ48" s="55" t="n">
        <f aca="false" t="array" ref="AJ48:AJ48">SUM(AJ6:AJ45 *(MOD(ROW(AJ6:AJ45), 2) = 1))</f>
        <v>0</v>
      </c>
      <c r="AK48" s="55" t="n">
        <f aca="false" t="array" ref="AK48:AK48">SUM(AK6:AK45 *(MOD(ROW(AK6:AK45), 2) = 1))</f>
        <v>0</v>
      </c>
      <c r="AL48" s="55" t="n">
        <f aca="false" t="array" ref="AL48:AL48">SUM(AL6:AL45 *(MOD(ROW(AL6:AL45), 2) = 1))</f>
        <v>0</v>
      </c>
      <c r="AM48" s="55" t="n">
        <f aca="false" t="array" ref="AM48:AM48">SUM(AM6:AM45 *(MOD(ROW(AM6:AM45), 2) = 1))</f>
        <v>0</v>
      </c>
      <c r="AN48" s="55" t="n">
        <f aca="false" t="array" ref="AN48:AN48">SUM(AN6:AN45 *(MOD(ROW(AN6:AN45), 2) = 1))</f>
        <v>0</v>
      </c>
      <c r="AO48" s="55" t="n">
        <f aca="false" t="array" ref="AO48:AO48">SUM(AO6:AO45 *(MOD(ROW(AO6:AO45), 2) = 1))</f>
        <v>0</v>
      </c>
      <c r="AP48" s="55" t="n">
        <f aca="false" t="array" ref="AP48:AP48">SUM(AP6:AP45 *(MOD(ROW(AP6:AP45), 2) = 1))</f>
        <v>0</v>
      </c>
      <c r="AQ48" s="55" t="n">
        <f aca="false" t="array" ref="AQ48:AQ48">SUM(AQ6:AQ45 *(MOD(ROW(AQ6:AQ45), 2) = 1))</f>
        <v>0</v>
      </c>
      <c r="AR48" s="55" t="n">
        <f aca="false" t="array" ref="AR48:AR48">SUM(AR6:AR45 *(MOD(ROW(AR6:AR45), 2) = 1))</f>
        <v>0</v>
      </c>
      <c r="AS48" s="55" t="n">
        <f aca="false" t="array" ref="AS48:AS48">SUM(AS6:AS45 *(MOD(ROW(AS6:AS45), 2) = 1))</f>
        <v>0</v>
      </c>
      <c r="AT48" s="55" t="n">
        <f aca="false" t="array" ref="AT48:AT48">SUM(AT6:AT45 *(MOD(ROW(AT6:AT45), 2) = 1))</f>
        <v>0</v>
      </c>
      <c r="AU48" s="55" t="n">
        <f aca="false" t="array" ref="AU48:AU48">SUM(AU6:AU45 *(MOD(ROW(AU6:AU45), 2) = 1))</f>
        <v>0</v>
      </c>
      <c r="AV48" s="55" t="n">
        <f aca="false" t="array" ref="AV48:AV48">SUM(AV6:AV45 *(MOD(ROW(AV6:AV45), 2) = 1))</f>
        <v>0</v>
      </c>
      <c r="AW48" s="55" t="n">
        <f aca="false" t="array" ref="AW48:AW48">SUM(AW6:AW45 *(MOD(ROW(AW6:AW45), 2) = 1))</f>
        <v>0</v>
      </c>
      <c r="AX48" s="55" t="n">
        <f aca="false" t="array" ref="AX48:AX48">SUM(AX6:AX45 *(MOD(ROW(AX6:AX45), 2) = 1))</f>
        <v>0</v>
      </c>
      <c r="AY48" s="55" t="n">
        <f aca="false" t="array" ref="AY48:AY48">SUM(AY6:AY45 *(MOD(ROW(AY6:AY45), 2) = 1))</f>
        <v>0</v>
      </c>
      <c r="AZ48" s="55" t="n">
        <f aca="false" t="array" ref="AZ48:AZ48">SUM(AZ6:AZ45 *(MOD(ROW(AZ6:AZ45), 2) = 1))</f>
        <v>0</v>
      </c>
      <c r="BA48" s="55" t="n">
        <f aca="false" t="array" ref="BA48:BA48">SUM(BA6:BA45 *(MOD(ROW(BA6:BA45), 2) = 1))</f>
        <v>0</v>
      </c>
      <c r="BB48" s="55" t="n">
        <f aca="false" t="array" ref="BB48:BB48">SUM(BB6:BB45 *(MOD(ROW(BB6:BB45), 2) = 1))</f>
        <v>0</v>
      </c>
      <c r="BC48" s="55" t="n">
        <f aca="false" t="array" ref="BC48:BC48">SUM(BC6:BC45 *(MOD(ROW(BC6:BC45), 2) = 1))</f>
        <v>0</v>
      </c>
      <c r="BD48" s="55" t="n">
        <f aca="false" t="array" ref="BD48:BD48">SUM(BD6:BD45 *(MOD(ROW(BD6:BD45), 2) = 1))</f>
        <v>0</v>
      </c>
      <c r="BE48" s="55" t="n">
        <f aca="false" t="array" ref="BE48:BE48">SUM(BE6:BE45 *(MOD(ROW(BE6:BE45), 2) = 1))</f>
        <v>0</v>
      </c>
      <c r="BF48" s="55" t="n">
        <f aca="false" t="array" ref="BF48:BF48">SUM(BF6:BF45 *(MOD(ROW(BF6:BF45), 2) = 1))</f>
        <v>0</v>
      </c>
      <c r="BG48" s="56" t="n">
        <f aca="false">SUM(E48:BF48)</f>
        <v>65</v>
      </c>
    </row>
    <row r="49" customFormat="false" ht="19.5" hidden="false" customHeight="true" outlineLevel="0" collapsed="false">
      <c r="B49" s="57"/>
      <c r="C49" s="58" t="s">
        <v>18</v>
      </c>
      <c r="D49" s="59" t="s">
        <v>12</v>
      </c>
      <c r="E49" s="60" t="n">
        <f aca="false">E48</f>
        <v>11</v>
      </c>
      <c r="F49" s="60" t="n">
        <f aca="false">IF(F48=0,"",_xlfn.AGGREGATE(4,6,E49)+F48)</f>
        <v>26</v>
      </c>
      <c r="G49" s="60" t="n">
        <f aca="false">IF(G48=0,"",_xlfn.AGGREGATE(4,6,E49:F49)+G48)</f>
        <v>50</v>
      </c>
      <c r="H49" s="60" t="n">
        <f aca="false">IF(H48=0,"",_xlfn.AGGREGATE(4,6,E49:G49)+H48)</f>
        <v>56</v>
      </c>
      <c r="I49" s="60" t="n">
        <f aca="false">IF(I48=0,"",_xlfn.AGGREGATE(4,6,E49:H49)+I48)</f>
        <v>65</v>
      </c>
      <c r="J49" s="60" t="str">
        <f aca="false">IF(J48=0,"",_xlfn.AGGREGATE(4,6,E49:I49)+J48)</f>
        <v/>
      </c>
      <c r="K49" s="60" t="str">
        <f aca="false">IF(K48=0,"",_xlfn.AGGREGATE(4,6,E49:J49)+K48)</f>
        <v/>
      </c>
      <c r="L49" s="60" t="str">
        <f aca="false">IF(L48=0,"",_xlfn.AGGREGATE(4,6,E49:K49)+L48)</f>
        <v/>
      </c>
      <c r="M49" s="60" t="str">
        <f aca="false">IF(M48=0,"",_xlfn.AGGREGATE(4,6,E49:L49)+M48)</f>
        <v/>
      </c>
      <c r="N49" s="60" t="str">
        <f aca="false">IF(N48=0,"",_xlfn.AGGREGATE(4,6,E49:M49)+N48)</f>
        <v/>
      </c>
      <c r="O49" s="60" t="str">
        <f aca="false">IF(O48=0,"",_xlfn.AGGREGATE(4,6,E49:N49)+O48)</f>
        <v/>
      </c>
      <c r="P49" s="60" t="str">
        <f aca="false">IF(P48=0,"",_xlfn.AGGREGATE(4,6,E49:O49)+P48)</f>
        <v/>
      </c>
      <c r="Q49" s="60" t="str">
        <f aca="false">IF(Q48=0,"",_xlfn.AGGREGATE(4,6,F49:P49)+Q48)</f>
        <v/>
      </c>
      <c r="R49" s="60" t="str">
        <f aca="false">IF(R48=0,"",_xlfn.AGGREGATE(4,6,G49:Q49)+R48)</f>
        <v/>
      </c>
      <c r="S49" s="60" t="str">
        <f aca="false">IF(S48=0,"",_xlfn.AGGREGATE(4,6,H49:R49)+S48)</f>
        <v/>
      </c>
      <c r="T49" s="60" t="str">
        <f aca="false">IF(T48=0,"",_xlfn.AGGREGATE(4,6,I49:S49)+T48)</f>
        <v/>
      </c>
      <c r="U49" s="60" t="str">
        <f aca="false">IF(U48=0,"",_xlfn.AGGREGATE(4,6,J49:T49)+U48)</f>
        <v/>
      </c>
      <c r="V49" s="60" t="str">
        <f aca="false">IF(V48=0,"",_xlfn.AGGREGATE(4,6,K49:U49)+V48)</f>
        <v/>
      </c>
      <c r="W49" s="60" t="str">
        <f aca="false">IF(W48=0,"",_xlfn.AGGREGATE(4,6,L49:V49)+W48)</f>
        <v/>
      </c>
      <c r="X49" s="60" t="str">
        <f aca="false">IF(X48=0,"",_xlfn.AGGREGATE(4,6,M49:W49)+X48)</f>
        <v/>
      </c>
      <c r="Y49" s="60" t="str">
        <f aca="false">IF(Y48=0,"",_xlfn.AGGREGATE(4,6,N49:X49)+Y48)</f>
        <v/>
      </c>
      <c r="Z49" s="60" t="str">
        <f aca="false">IF(Z48=0,"",_xlfn.AGGREGATE(4,6,O49:Y49)+Z48)</f>
        <v/>
      </c>
      <c r="AA49" s="60" t="str">
        <f aca="false">IF(AA48=0,"",_xlfn.AGGREGATE(4,6,P49:Z49)+AA48)</f>
        <v/>
      </c>
      <c r="AB49" s="60" t="str">
        <f aca="false">IF(AB48=0,"",_xlfn.AGGREGATE(4,6,Q49:AA49)+AB48)</f>
        <v/>
      </c>
      <c r="AC49" s="60" t="str">
        <f aca="false">IF(AC48=0,"",_xlfn.AGGREGATE(4,6,R49:AB49)+AC48)</f>
        <v/>
      </c>
      <c r="AD49" s="60" t="str">
        <f aca="false">IF(AD48=0,"",_xlfn.AGGREGATE(4,6,S49:AC49)+AD48)</f>
        <v/>
      </c>
      <c r="AE49" s="60" t="str">
        <f aca="false">IF(AE48=0,"",_xlfn.AGGREGATE(4,6,T49:AD49)+AE48)</f>
        <v/>
      </c>
      <c r="AF49" s="60" t="str">
        <f aca="false">IF(AF48=0,"",_xlfn.AGGREGATE(4,6,U49:AE49)+AF48)</f>
        <v/>
      </c>
      <c r="AG49" s="60" t="str">
        <f aca="false">IF(AG48=0,"",_xlfn.AGGREGATE(4,6,V49:AF49)+AG48)</f>
        <v/>
      </c>
      <c r="AH49" s="60" t="str">
        <f aca="false">IF(AH48=0,"",_xlfn.AGGREGATE(4,6,W49:AG49)+AH48)</f>
        <v/>
      </c>
      <c r="AI49" s="60" t="str">
        <f aca="false">IF(AI48=0,"",_xlfn.AGGREGATE(4,6,X49:AH49)+AI48)</f>
        <v/>
      </c>
      <c r="AJ49" s="60" t="str">
        <f aca="false">IF(AJ48=0,"",_xlfn.AGGREGATE(4,6,Y49:AI49)+AJ48)</f>
        <v/>
      </c>
      <c r="AK49" s="60" t="str">
        <f aca="false">IF(AK48=0,"",_xlfn.AGGREGATE(4,6,Z49:AJ49)+AK48)</f>
        <v/>
      </c>
      <c r="AL49" s="60" t="str">
        <f aca="false">IF(AL48=0,"",_xlfn.AGGREGATE(4,6,AA49:AK49)+AL48)</f>
        <v/>
      </c>
      <c r="AM49" s="60" t="str">
        <f aca="false">IF(AM48=0,"",_xlfn.AGGREGATE(4,6,AB49:AL49)+AM48)</f>
        <v/>
      </c>
      <c r="AN49" s="60" t="str">
        <f aca="false">IF(AN48=0,"",_xlfn.AGGREGATE(4,6,AC49:AM49)+AN48)</f>
        <v/>
      </c>
      <c r="AO49" s="60" t="str">
        <f aca="false">IF(AO48=0,"",_xlfn.AGGREGATE(4,6,AD49:AN49)+AO48)</f>
        <v/>
      </c>
      <c r="AP49" s="60" t="str">
        <f aca="false">IF(AP48=0,"",_xlfn.AGGREGATE(4,6,AE49:AO49)+AP48)</f>
        <v/>
      </c>
      <c r="AQ49" s="60" t="str">
        <f aca="false">IF(AQ48=0,"",_xlfn.AGGREGATE(4,6,AF49:AP49)+AQ48)</f>
        <v/>
      </c>
      <c r="AR49" s="60" t="str">
        <f aca="false">IF(AR48=0,"",_xlfn.AGGREGATE(4,6,AG49:AQ49)+AR48)</f>
        <v/>
      </c>
      <c r="AS49" s="60" t="str">
        <f aca="false">IF(AS48=0,"",_xlfn.AGGREGATE(4,6,AH49:AR49)+AS48)</f>
        <v/>
      </c>
      <c r="AT49" s="60" t="str">
        <f aca="false">IF(AT48=0,"",_xlfn.AGGREGATE(4,6,AI49:AS49)+AT48)</f>
        <v/>
      </c>
      <c r="AU49" s="60" t="str">
        <f aca="false">IF(AU48=0,"",_xlfn.AGGREGATE(4,6,AJ49:AT49)+AU48)</f>
        <v/>
      </c>
      <c r="AV49" s="60" t="str">
        <f aca="false">IF(AV48=0,"",_xlfn.AGGREGATE(4,6,AK49:AU49)+AV48)</f>
        <v/>
      </c>
      <c r="AW49" s="60" t="str">
        <f aca="false">IF(AW48=0,"",_xlfn.AGGREGATE(4,6,AL49:AV49)+AW48)</f>
        <v/>
      </c>
      <c r="AX49" s="60" t="str">
        <f aca="false">IF(AX48=0,"",_xlfn.AGGREGATE(4,6,AM49:AW49)+AX48)</f>
        <v/>
      </c>
      <c r="AY49" s="60" t="str">
        <f aca="false">IF(AY48=0,"",_xlfn.AGGREGATE(4,6,AN49:AX49)+AY48)</f>
        <v/>
      </c>
      <c r="AZ49" s="60" t="str">
        <f aca="false">IF(AZ48=0,"",_xlfn.AGGREGATE(4,6,AO49:AY49)+AZ48)</f>
        <v/>
      </c>
      <c r="BA49" s="60" t="str">
        <f aca="false">IF(BA48=0,"",_xlfn.AGGREGATE(4,6,AP49:AZ49)+BA48)</f>
        <v/>
      </c>
      <c r="BB49" s="60" t="str">
        <f aca="false">IF(BB48=0,"",_xlfn.AGGREGATE(4,6,AQ49:BA49)+BB48)</f>
        <v/>
      </c>
      <c r="BC49" s="60" t="str">
        <f aca="false">IF(BC48=0,"",_xlfn.AGGREGATE(4,6,AR49:BB49)+BC48)</f>
        <v/>
      </c>
      <c r="BD49" s="60" t="str">
        <f aca="false">IF(BD48=0,"",_xlfn.AGGREGATE(4,6,AS49:BC49)+BD48)</f>
        <v/>
      </c>
      <c r="BE49" s="60" t="str">
        <f aca="false">IF(BE48=0,"",_xlfn.AGGREGATE(4,6,AT49:BD49)+BE48)</f>
        <v/>
      </c>
      <c r="BF49" s="60" t="str">
        <f aca="false">IF(BF48=0,"",_xlfn.AGGREGATE(4,6,AU49:BE49)+BF48)</f>
        <v/>
      </c>
      <c r="BG49" s="61"/>
    </row>
    <row r="50" customFormat="false" ht="13.8" hidden="false" customHeight="false" outlineLevel="0" collapsed="false">
      <c r="B50" s="62"/>
      <c r="C50" s="62"/>
      <c r="D50" s="62"/>
      <c r="E50" s="62"/>
      <c r="F50" s="62"/>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62"/>
      <c r="AG50" s="62"/>
      <c r="AH50" s="62"/>
      <c r="AI50" s="62"/>
      <c r="AJ50" s="62"/>
      <c r="AK50" s="62"/>
      <c r="AL50" s="62"/>
      <c r="AM50" s="62"/>
      <c r="AN50" s="62"/>
      <c r="AO50" s="62"/>
      <c r="AP50" s="62"/>
      <c r="AQ50" s="62"/>
      <c r="AR50" s="62"/>
      <c r="AS50" s="62"/>
      <c r="AT50" s="62"/>
      <c r="AU50" s="62"/>
      <c r="AV50" s="62"/>
      <c r="AW50" s="62"/>
      <c r="AX50" s="62"/>
      <c r="AY50" s="62"/>
      <c r="AZ50" s="62"/>
      <c r="BA50" s="62"/>
      <c r="BB50" s="62"/>
      <c r="BC50" s="62"/>
      <c r="BD50" s="62"/>
      <c r="BE50" s="62"/>
      <c r="BF50" s="62"/>
      <c r="BG50" s="62"/>
    </row>
    <row r="51" customFormat="false" ht="13.8" hidden="false" customHeight="false" outlineLevel="0" collapsed="false">
      <c r="B51" s="62"/>
      <c r="C51" s="62"/>
      <c r="D51" s="62"/>
      <c r="E51" s="62"/>
      <c r="F51" s="62"/>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62"/>
      <c r="AG51" s="62"/>
      <c r="AH51" s="62"/>
      <c r="AI51" s="62"/>
      <c r="AJ51" s="62"/>
      <c r="AK51" s="62"/>
      <c r="AL51" s="62"/>
      <c r="AM51" s="62"/>
      <c r="AN51" s="62"/>
      <c r="AO51" s="62"/>
      <c r="AP51" s="62"/>
      <c r="AQ51" s="62"/>
      <c r="AR51" s="62"/>
      <c r="AS51" s="62"/>
      <c r="AT51" s="62"/>
      <c r="AU51" s="62"/>
      <c r="AV51" s="62"/>
      <c r="AW51" s="62"/>
      <c r="AX51" s="62"/>
      <c r="AY51" s="62"/>
      <c r="AZ51" s="62"/>
      <c r="BA51" s="62"/>
      <c r="BB51" s="62"/>
      <c r="BC51" s="62"/>
      <c r="BD51" s="62"/>
      <c r="BE51" s="62"/>
      <c r="BF51" s="62"/>
      <c r="BG51" s="62"/>
    </row>
    <row r="52" customFormat="false" ht="13.8" hidden="false" customHeight="false" outlineLevel="0" collapsed="false">
      <c r="B52" s="62"/>
      <c r="C52" s="62"/>
      <c r="D52" s="62"/>
      <c r="E52" s="62"/>
      <c r="F52" s="62"/>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62"/>
      <c r="AG52" s="62"/>
      <c r="AH52" s="62"/>
      <c r="AI52" s="62"/>
      <c r="AJ52" s="62"/>
      <c r="AK52" s="62"/>
      <c r="AL52" s="62"/>
      <c r="AM52" s="62"/>
      <c r="AN52" s="62"/>
      <c r="AO52" s="62"/>
      <c r="AP52" s="62"/>
      <c r="AQ52" s="62"/>
      <c r="AR52" s="62"/>
      <c r="AS52" s="62"/>
      <c r="AT52" s="62"/>
      <c r="AU52" s="62"/>
      <c r="AV52" s="62"/>
      <c r="AW52" s="62"/>
      <c r="AX52" s="62"/>
      <c r="AY52" s="62"/>
      <c r="AZ52" s="62"/>
      <c r="BA52" s="62"/>
      <c r="BB52" s="62"/>
      <c r="BC52" s="62"/>
      <c r="BD52" s="62"/>
      <c r="BE52" s="62"/>
      <c r="BF52" s="62"/>
      <c r="BG52" s="62"/>
    </row>
    <row r="53" customFormat="false" ht="13.8" hidden="false" customHeight="false" outlineLevel="0" collapsed="false">
      <c r="B53" s="62"/>
      <c r="C53" s="62"/>
      <c r="D53" s="62"/>
      <c r="E53" s="62"/>
      <c r="F53" s="62"/>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62"/>
      <c r="AG53" s="62"/>
      <c r="AH53" s="62"/>
      <c r="AI53" s="62"/>
      <c r="AJ53" s="62"/>
      <c r="AK53" s="62"/>
      <c r="AL53" s="62"/>
      <c r="AM53" s="62"/>
      <c r="AN53" s="62"/>
      <c r="AO53" s="62"/>
      <c r="AP53" s="62"/>
      <c r="AQ53" s="62"/>
      <c r="AR53" s="62"/>
      <c r="AS53" s="62"/>
      <c r="AT53" s="62"/>
      <c r="AU53" s="62"/>
      <c r="AV53" s="62"/>
      <c r="AW53" s="62"/>
      <c r="AX53" s="62"/>
      <c r="AY53" s="62"/>
      <c r="AZ53" s="62"/>
      <c r="BA53" s="62"/>
      <c r="BB53" s="62"/>
      <c r="BC53" s="62"/>
      <c r="BD53" s="62"/>
      <c r="BE53" s="62"/>
      <c r="BF53" s="62"/>
      <c r="BG53" s="62"/>
    </row>
    <row r="54" customFormat="false" ht="13.8" hidden="false" customHeight="false" outlineLevel="0" collapsed="false">
      <c r="B54" s="62"/>
      <c r="C54" s="62"/>
      <c r="D54" s="62"/>
      <c r="E54" s="62"/>
      <c r="F54" s="62"/>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62"/>
      <c r="AG54" s="62"/>
      <c r="AH54" s="62"/>
      <c r="AI54" s="62"/>
      <c r="AJ54" s="62"/>
      <c r="AK54" s="62"/>
      <c r="AL54" s="62"/>
      <c r="AM54" s="62"/>
      <c r="AN54" s="62"/>
      <c r="AO54" s="62"/>
      <c r="AP54" s="62"/>
      <c r="AQ54" s="62"/>
      <c r="AR54" s="62"/>
      <c r="AS54" s="62"/>
      <c r="AT54" s="62"/>
      <c r="AU54" s="62"/>
      <c r="AV54" s="62"/>
      <c r="AW54" s="62"/>
      <c r="AX54" s="62"/>
      <c r="AY54" s="62"/>
      <c r="AZ54" s="62"/>
      <c r="BA54" s="62"/>
      <c r="BB54" s="62"/>
      <c r="BC54" s="62"/>
      <c r="BD54" s="62"/>
      <c r="BE54" s="62"/>
      <c r="BF54" s="62"/>
      <c r="BG54" s="62"/>
    </row>
    <row r="55" customFormat="false" ht="13.8" hidden="false" customHeight="false" outlineLevel="0" collapsed="false">
      <c r="B55" s="62"/>
      <c r="C55" s="62"/>
      <c r="D55" s="62"/>
      <c r="E55" s="62"/>
      <c r="F55" s="62"/>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62"/>
      <c r="AG55" s="62"/>
      <c r="AH55" s="62"/>
      <c r="AI55" s="62"/>
      <c r="AJ55" s="62"/>
      <c r="AK55" s="62"/>
      <c r="AL55" s="62"/>
      <c r="AM55" s="62"/>
      <c r="AN55" s="62"/>
      <c r="AO55" s="62"/>
      <c r="AP55" s="62"/>
      <c r="AQ55" s="62"/>
      <c r="AR55" s="62"/>
      <c r="AS55" s="62"/>
      <c r="AT55" s="62"/>
      <c r="AU55" s="62"/>
      <c r="AV55" s="62"/>
      <c r="AW55" s="62"/>
      <c r="AX55" s="62"/>
      <c r="AY55" s="62"/>
      <c r="AZ55" s="62"/>
      <c r="BA55" s="62"/>
      <c r="BB55" s="62"/>
      <c r="BC55" s="62"/>
      <c r="BD55" s="62"/>
      <c r="BE55" s="62"/>
      <c r="BF55" s="62"/>
      <c r="BG55" s="62"/>
    </row>
    <row r="56" customFormat="false" ht="13.8" hidden="false" customHeight="false" outlineLevel="0" collapsed="false">
      <c r="B56" s="62"/>
      <c r="C56" s="62"/>
      <c r="D56" s="62"/>
      <c r="E56" s="62"/>
      <c r="F56" s="62"/>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62"/>
      <c r="AG56" s="62"/>
      <c r="AH56" s="62"/>
      <c r="AI56" s="62"/>
      <c r="AJ56" s="62"/>
      <c r="AK56" s="62"/>
      <c r="AL56" s="62"/>
      <c r="AM56" s="62"/>
      <c r="AN56" s="62"/>
      <c r="AO56" s="62"/>
      <c r="AP56" s="62"/>
      <c r="AQ56" s="62"/>
      <c r="AR56" s="62"/>
      <c r="AS56" s="62"/>
      <c r="AT56" s="62"/>
      <c r="AU56" s="62"/>
      <c r="AV56" s="62"/>
      <c r="AW56" s="62"/>
      <c r="AX56" s="62"/>
      <c r="AY56" s="62"/>
      <c r="AZ56" s="62"/>
      <c r="BA56" s="62"/>
      <c r="BB56" s="62"/>
      <c r="BC56" s="62"/>
      <c r="BD56" s="62"/>
      <c r="BE56" s="62"/>
      <c r="BF56" s="62"/>
      <c r="BG56" s="62"/>
    </row>
    <row r="57" customFormat="false" ht="13.8" hidden="false" customHeight="false" outlineLevel="0" collapsed="false">
      <c r="B57" s="62"/>
      <c r="C57" s="62"/>
      <c r="D57" s="62"/>
      <c r="E57" s="62"/>
      <c r="F57" s="62"/>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62"/>
      <c r="AG57" s="62"/>
      <c r="AH57" s="62"/>
      <c r="AI57" s="62"/>
      <c r="AJ57" s="62"/>
      <c r="AK57" s="62"/>
      <c r="AL57" s="62"/>
      <c r="AM57" s="62"/>
      <c r="AN57" s="62"/>
      <c r="AO57" s="62"/>
      <c r="AP57" s="62"/>
      <c r="AQ57" s="62"/>
      <c r="AR57" s="62"/>
      <c r="AS57" s="62"/>
      <c r="AT57" s="62"/>
      <c r="AU57" s="62"/>
      <c r="AV57" s="62"/>
      <c r="AW57" s="62"/>
      <c r="AX57" s="62"/>
      <c r="AY57" s="62"/>
      <c r="AZ57" s="62"/>
      <c r="BA57" s="62"/>
      <c r="BB57" s="62"/>
      <c r="BC57" s="62"/>
      <c r="BD57" s="62"/>
      <c r="BE57" s="62"/>
      <c r="BF57" s="62"/>
      <c r="BG57" s="62"/>
    </row>
    <row r="58" customFormat="false" ht="13.8" hidden="false" customHeight="false" outlineLevel="0" collapsed="false">
      <c r="B58" s="62"/>
      <c r="C58" s="62"/>
      <c r="D58" s="62"/>
      <c r="E58" s="62"/>
      <c r="F58" s="62"/>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62"/>
      <c r="AG58" s="62"/>
      <c r="AH58" s="62"/>
      <c r="AI58" s="62"/>
      <c r="AJ58" s="62"/>
      <c r="AK58" s="62"/>
      <c r="AL58" s="62"/>
      <c r="AM58" s="62"/>
      <c r="AN58" s="62"/>
      <c r="AO58" s="62"/>
      <c r="AP58" s="62"/>
      <c r="AQ58" s="62"/>
      <c r="AR58" s="62"/>
      <c r="AS58" s="62"/>
      <c r="AT58" s="62"/>
      <c r="AU58" s="62"/>
      <c r="AV58" s="62"/>
      <c r="AW58" s="62"/>
      <c r="AX58" s="62"/>
      <c r="AY58" s="62"/>
      <c r="AZ58" s="62"/>
      <c r="BA58" s="62"/>
      <c r="BB58" s="62"/>
      <c r="BC58" s="62"/>
      <c r="BD58" s="62"/>
      <c r="BE58" s="62"/>
      <c r="BF58" s="62"/>
      <c r="BG58" s="62"/>
    </row>
    <row r="59" customFormat="false" ht="13.8" hidden="false" customHeight="false" outlineLevel="0" collapsed="false">
      <c r="B59" s="62"/>
      <c r="C59" s="62"/>
      <c r="D59" s="62"/>
      <c r="E59" s="62"/>
      <c r="F59" s="62"/>
      <c r="G59" s="62"/>
      <c r="H59" s="62"/>
      <c r="I59" s="62"/>
      <c r="J59" s="62"/>
      <c r="K59" s="62"/>
      <c r="L59" s="62"/>
      <c r="M59" s="62"/>
      <c r="N59" s="62"/>
      <c r="O59" s="62"/>
      <c r="P59" s="62"/>
      <c r="Q59" s="62"/>
      <c r="R59" s="62"/>
      <c r="S59" s="62"/>
      <c r="T59" s="62"/>
      <c r="U59" s="62"/>
      <c r="V59" s="62"/>
      <c r="W59" s="62"/>
      <c r="X59" s="62"/>
      <c r="Y59" s="62"/>
      <c r="Z59" s="62"/>
      <c r="AA59" s="62"/>
      <c r="AB59" s="62"/>
      <c r="AC59" s="62"/>
      <c r="AD59" s="62"/>
      <c r="AE59" s="62"/>
      <c r="AF59" s="62"/>
      <c r="AG59" s="62"/>
      <c r="AH59" s="62"/>
      <c r="AI59" s="62"/>
      <c r="AJ59" s="62"/>
      <c r="AK59" s="62"/>
      <c r="AL59" s="62"/>
      <c r="AM59" s="62"/>
      <c r="AN59" s="62"/>
      <c r="AO59" s="62"/>
      <c r="AP59" s="62"/>
      <c r="AQ59" s="62"/>
      <c r="AR59" s="62"/>
      <c r="AS59" s="62"/>
      <c r="AT59" s="62"/>
      <c r="AU59" s="62"/>
      <c r="AV59" s="62"/>
      <c r="AW59" s="62"/>
      <c r="AX59" s="62"/>
      <c r="AY59" s="62"/>
      <c r="AZ59" s="62"/>
      <c r="BA59" s="62"/>
      <c r="BB59" s="62"/>
      <c r="BC59" s="62"/>
      <c r="BD59" s="62"/>
      <c r="BE59" s="62"/>
      <c r="BF59" s="62"/>
      <c r="BG59" s="62"/>
    </row>
    <row r="60" customFormat="false" ht="13.8" hidden="false" customHeight="false" outlineLevel="0" collapsed="false">
      <c r="B60" s="62"/>
      <c r="C60" s="62"/>
      <c r="D60" s="62"/>
      <c r="E60" s="62"/>
      <c r="F60" s="62"/>
      <c r="G60" s="62"/>
      <c r="H60" s="62"/>
      <c r="I60" s="62"/>
      <c r="J60" s="62"/>
      <c r="K60" s="62"/>
      <c r="L60" s="62"/>
      <c r="M60" s="62"/>
      <c r="N60" s="62"/>
      <c r="O60" s="62"/>
      <c r="P60" s="62"/>
      <c r="Q60" s="62"/>
      <c r="R60" s="62"/>
      <c r="S60" s="62"/>
      <c r="T60" s="62"/>
      <c r="U60" s="62"/>
      <c r="V60" s="62"/>
      <c r="W60" s="62"/>
      <c r="X60" s="62"/>
      <c r="Y60" s="62"/>
      <c r="Z60" s="62"/>
      <c r="AA60" s="62"/>
      <c r="AB60" s="62"/>
      <c r="AC60" s="62"/>
      <c r="AD60" s="62"/>
      <c r="AE60" s="62"/>
      <c r="AF60" s="62"/>
      <c r="AG60" s="62"/>
      <c r="AH60" s="62"/>
      <c r="AI60" s="62"/>
      <c r="AJ60" s="62"/>
      <c r="AK60" s="62"/>
      <c r="AL60" s="62"/>
      <c r="AM60" s="62"/>
      <c r="AN60" s="62"/>
      <c r="AO60" s="62"/>
      <c r="AP60" s="62"/>
      <c r="AQ60" s="62"/>
      <c r="AR60" s="62"/>
      <c r="AS60" s="62"/>
      <c r="AT60" s="62"/>
      <c r="AU60" s="62"/>
      <c r="AV60" s="62"/>
      <c r="AW60" s="62"/>
      <c r="AX60" s="62"/>
      <c r="AY60" s="62"/>
      <c r="AZ60" s="62"/>
      <c r="BA60" s="62"/>
      <c r="BB60" s="62"/>
      <c r="BC60" s="62"/>
      <c r="BD60" s="62"/>
      <c r="BE60" s="62"/>
      <c r="BF60" s="62"/>
      <c r="BG60" s="62"/>
    </row>
    <row r="61" customFormat="false" ht="13.8" hidden="false" customHeight="false" outlineLevel="0" collapsed="false">
      <c r="B61" s="62"/>
      <c r="C61" s="62"/>
      <c r="D61" s="62"/>
      <c r="E61" s="62"/>
      <c r="F61" s="62"/>
      <c r="G61" s="62"/>
      <c r="H61" s="62"/>
      <c r="I61" s="62"/>
      <c r="J61" s="62"/>
      <c r="K61" s="62"/>
      <c r="L61" s="62"/>
      <c r="M61" s="62"/>
      <c r="N61" s="62"/>
      <c r="O61" s="62"/>
      <c r="P61" s="62"/>
      <c r="Q61" s="62"/>
      <c r="R61" s="62"/>
      <c r="S61" s="62"/>
      <c r="T61" s="62"/>
      <c r="U61" s="62"/>
      <c r="V61" s="62"/>
      <c r="W61" s="62"/>
      <c r="X61" s="62"/>
      <c r="Y61" s="62"/>
      <c r="Z61" s="62"/>
      <c r="AA61" s="62"/>
      <c r="AB61" s="62"/>
      <c r="AC61" s="62"/>
      <c r="AD61" s="62"/>
      <c r="AE61" s="62"/>
      <c r="AF61" s="62"/>
      <c r="AG61" s="62"/>
      <c r="AH61" s="62"/>
      <c r="AI61" s="62"/>
      <c r="AJ61" s="62"/>
      <c r="AK61" s="62"/>
      <c r="AL61" s="62"/>
      <c r="AM61" s="62"/>
      <c r="AN61" s="62"/>
      <c r="AO61" s="62"/>
      <c r="AP61" s="62"/>
      <c r="AQ61" s="62"/>
      <c r="AR61" s="62"/>
      <c r="AS61" s="62"/>
      <c r="AT61" s="62"/>
      <c r="AU61" s="62"/>
      <c r="AV61" s="62"/>
      <c r="AW61" s="62"/>
      <c r="AX61" s="62"/>
      <c r="AY61" s="62"/>
      <c r="AZ61" s="62"/>
      <c r="BA61" s="62"/>
      <c r="BB61" s="62"/>
      <c r="BC61" s="62"/>
      <c r="BD61" s="62"/>
      <c r="BE61" s="62"/>
      <c r="BF61" s="62"/>
      <c r="BG61" s="62"/>
    </row>
    <row r="62" customFormat="false" ht="13.8" hidden="false" customHeight="false" outlineLevel="0" collapsed="false">
      <c r="B62" s="62"/>
      <c r="C62" s="62"/>
      <c r="D62" s="62"/>
      <c r="E62" s="62"/>
      <c r="F62" s="62"/>
      <c r="G62" s="62"/>
      <c r="H62" s="62"/>
      <c r="I62" s="62"/>
      <c r="J62" s="62"/>
      <c r="K62" s="62"/>
      <c r="L62" s="62"/>
      <c r="M62" s="62"/>
      <c r="N62" s="62"/>
      <c r="O62" s="62"/>
      <c r="P62" s="62"/>
      <c r="Q62" s="62"/>
      <c r="R62" s="62"/>
      <c r="S62" s="62"/>
      <c r="T62" s="62"/>
      <c r="U62" s="62"/>
      <c r="V62" s="62"/>
      <c r="W62" s="62"/>
      <c r="X62" s="62"/>
      <c r="Y62" s="62"/>
      <c r="Z62" s="62"/>
      <c r="AA62" s="62"/>
      <c r="AB62" s="62"/>
      <c r="AC62" s="62"/>
      <c r="AD62" s="62"/>
      <c r="AE62" s="62"/>
      <c r="AF62" s="62"/>
      <c r="AG62" s="62"/>
      <c r="AH62" s="62"/>
      <c r="AI62" s="62"/>
      <c r="AJ62" s="62"/>
      <c r="AK62" s="62"/>
      <c r="AL62" s="62"/>
      <c r="AM62" s="62"/>
      <c r="AN62" s="62"/>
      <c r="AO62" s="62"/>
      <c r="AP62" s="62"/>
      <c r="AQ62" s="62"/>
      <c r="AR62" s="62"/>
      <c r="AS62" s="62"/>
      <c r="AT62" s="62"/>
      <c r="AU62" s="62"/>
      <c r="AV62" s="62"/>
      <c r="AW62" s="62"/>
      <c r="AX62" s="62"/>
      <c r="AY62" s="62"/>
      <c r="AZ62" s="62"/>
      <c r="BA62" s="62"/>
      <c r="BB62" s="62"/>
      <c r="BC62" s="62"/>
      <c r="BD62" s="62"/>
      <c r="BE62" s="62"/>
      <c r="BF62" s="62"/>
      <c r="BG62" s="62"/>
    </row>
    <row r="63" customFormat="false" ht="13.8" hidden="false" customHeight="false" outlineLevel="0" collapsed="false">
      <c r="B63" s="62"/>
      <c r="C63" s="62"/>
      <c r="D63" s="62"/>
      <c r="E63" s="62"/>
      <c r="F63" s="62"/>
      <c r="G63" s="62"/>
      <c r="H63" s="62"/>
      <c r="I63" s="62"/>
      <c r="J63" s="62"/>
      <c r="K63" s="62"/>
      <c r="L63" s="62"/>
      <c r="M63" s="62"/>
      <c r="N63" s="62"/>
      <c r="O63" s="62"/>
      <c r="P63" s="62"/>
      <c r="Q63" s="62"/>
      <c r="R63" s="62"/>
      <c r="S63" s="62"/>
      <c r="T63" s="62"/>
      <c r="U63" s="62"/>
      <c r="V63" s="62"/>
      <c r="W63" s="62"/>
      <c r="X63" s="62"/>
      <c r="Y63" s="62"/>
      <c r="Z63" s="62"/>
      <c r="AA63" s="62"/>
      <c r="AB63" s="62"/>
      <c r="AC63" s="62"/>
      <c r="AD63" s="62"/>
      <c r="AE63" s="62"/>
      <c r="AF63" s="62"/>
      <c r="AG63" s="62"/>
      <c r="AH63" s="62"/>
      <c r="AI63" s="62"/>
      <c r="AJ63" s="62"/>
      <c r="AK63" s="62"/>
      <c r="AL63" s="62"/>
      <c r="AM63" s="62"/>
      <c r="AN63" s="62"/>
      <c r="AO63" s="62"/>
      <c r="AP63" s="62"/>
      <c r="AQ63" s="62"/>
      <c r="AR63" s="62"/>
      <c r="AS63" s="62"/>
      <c r="AT63" s="62"/>
      <c r="AU63" s="62"/>
      <c r="AV63" s="62"/>
      <c r="AW63" s="62"/>
      <c r="AX63" s="62"/>
      <c r="AY63" s="62"/>
      <c r="AZ63" s="62"/>
      <c r="BA63" s="62"/>
      <c r="BB63" s="62"/>
      <c r="BC63" s="62"/>
      <c r="BD63" s="62"/>
      <c r="BE63" s="62"/>
      <c r="BF63" s="62"/>
      <c r="BG63" s="62"/>
    </row>
    <row r="64" customFormat="false" ht="13.8" hidden="false" customHeight="false" outlineLevel="0" collapsed="false">
      <c r="B64" s="62"/>
      <c r="C64" s="62"/>
      <c r="D64" s="62"/>
      <c r="E64" s="62"/>
      <c r="F64" s="62"/>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2"/>
      <c r="AG64" s="62"/>
      <c r="AH64" s="62"/>
      <c r="AI64" s="62"/>
      <c r="AJ64" s="62"/>
      <c r="AK64" s="62"/>
      <c r="AL64" s="62"/>
      <c r="AM64" s="62"/>
      <c r="AN64" s="62"/>
      <c r="AO64" s="62"/>
      <c r="AP64" s="62"/>
      <c r="AQ64" s="62"/>
      <c r="AR64" s="62"/>
      <c r="AS64" s="62"/>
      <c r="AT64" s="62"/>
      <c r="AU64" s="62"/>
      <c r="AV64" s="62"/>
      <c r="AW64" s="62"/>
      <c r="AX64" s="62"/>
      <c r="AY64" s="62"/>
      <c r="AZ64" s="62"/>
      <c r="BA64" s="62"/>
      <c r="BB64" s="62"/>
      <c r="BC64" s="62"/>
      <c r="BD64" s="62"/>
      <c r="BE64" s="62"/>
      <c r="BF64" s="62"/>
      <c r="BG64" s="62"/>
    </row>
    <row r="65" customFormat="false" ht="13.8" hidden="false" customHeight="false" outlineLevel="0" collapsed="false">
      <c r="B65" s="62"/>
      <c r="C65" s="62"/>
      <c r="D65" s="62"/>
      <c r="E65" s="62"/>
      <c r="F65" s="62"/>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62"/>
      <c r="AG65" s="62"/>
      <c r="AH65" s="62"/>
      <c r="AI65" s="62"/>
      <c r="AJ65" s="62"/>
      <c r="AK65" s="62"/>
      <c r="AL65" s="62"/>
      <c r="AM65" s="62"/>
      <c r="AN65" s="62"/>
      <c r="AO65" s="62"/>
      <c r="AP65" s="62"/>
      <c r="AQ65" s="62"/>
      <c r="AR65" s="62"/>
      <c r="AS65" s="62"/>
      <c r="AT65" s="62"/>
      <c r="AU65" s="62"/>
      <c r="AV65" s="62"/>
      <c r="AW65" s="62"/>
      <c r="AX65" s="62"/>
      <c r="AY65" s="62"/>
      <c r="AZ65" s="62"/>
      <c r="BA65" s="62"/>
      <c r="BB65" s="62"/>
      <c r="BC65" s="62"/>
      <c r="BD65" s="62"/>
      <c r="BE65" s="62"/>
      <c r="BF65" s="62"/>
      <c r="BG65" s="62"/>
    </row>
    <row r="66" customFormat="false" ht="13.8" hidden="false" customHeight="false" outlineLevel="0" collapsed="false">
      <c r="B66" s="62"/>
      <c r="C66" s="62"/>
      <c r="D66" s="62"/>
      <c r="E66" s="62"/>
      <c r="F66" s="62"/>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62"/>
      <c r="AG66" s="62"/>
      <c r="AH66" s="62"/>
      <c r="AI66" s="62"/>
      <c r="AJ66" s="62"/>
      <c r="AK66" s="62"/>
      <c r="AL66" s="62"/>
      <c r="AM66" s="62"/>
      <c r="AN66" s="62"/>
      <c r="AO66" s="62"/>
      <c r="AP66" s="62"/>
      <c r="AQ66" s="62"/>
      <c r="AR66" s="62"/>
      <c r="AS66" s="62"/>
      <c r="AT66" s="62"/>
      <c r="AU66" s="62"/>
      <c r="AV66" s="62"/>
      <c r="AW66" s="62"/>
      <c r="AX66" s="62"/>
      <c r="AY66" s="62"/>
      <c r="AZ66" s="62"/>
      <c r="BA66" s="62"/>
      <c r="BB66" s="62"/>
      <c r="BC66" s="62"/>
      <c r="BD66" s="62"/>
      <c r="BE66" s="62"/>
      <c r="BF66" s="62"/>
      <c r="BG66" s="62"/>
    </row>
    <row r="67" customFormat="false" ht="13.8" hidden="false" customHeight="false" outlineLevel="0" collapsed="false">
      <c r="B67" s="62"/>
      <c r="C67" s="62"/>
      <c r="D67" s="62"/>
      <c r="E67" s="62"/>
      <c r="F67" s="62"/>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62"/>
      <c r="AG67" s="62"/>
      <c r="AH67" s="62"/>
      <c r="AI67" s="62"/>
      <c r="AJ67" s="62"/>
      <c r="AK67" s="62"/>
      <c r="AL67" s="62"/>
      <c r="AM67" s="62"/>
      <c r="AN67" s="62"/>
      <c r="AO67" s="62"/>
      <c r="AP67" s="62"/>
      <c r="AQ67" s="62"/>
      <c r="AR67" s="62"/>
      <c r="AS67" s="62"/>
      <c r="AT67" s="62"/>
      <c r="AU67" s="62"/>
      <c r="AV67" s="62"/>
      <c r="AW67" s="62"/>
      <c r="AX67" s="62"/>
      <c r="AY67" s="62"/>
      <c r="AZ67" s="62"/>
      <c r="BA67" s="62"/>
      <c r="BB67" s="62"/>
      <c r="BC67" s="62"/>
      <c r="BD67" s="62"/>
      <c r="BE67" s="62"/>
      <c r="BF67" s="62"/>
      <c r="BG67" s="62"/>
    </row>
    <row r="68" customFormat="false" ht="13.8" hidden="false" customHeight="false" outlineLevel="0" collapsed="false">
      <c r="B68" s="62"/>
      <c r="C68" s="62"/>
      <c r="D68" s="62"/>
      <c r="E68" s="62"/>
      <c r="F68" s="62"/>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62"/>
      <c r="AG68" s="62"/>
      <c r="AH68" s="62"/>
      <c r="AI68" s="62"/>
      <c r="AJ68" s="62"/>
      <c r="AK68" s="62"/>
      <c r="AL68" s="62"/>
      <c r="AM68" s="62"/>
      <c r="AN68" s="62"/>
      <c r="AO68" s="62"/>
      <c r="AP68" s="62"/>
      <c r="AQ68" s="62"/>
      <c r="AR68" s="62"/>
      <c r="AS68" s="62"/>
      <c r="AT68" s="62"/>
      <c r="AU68" s="62"/>
      <c r="AV68" s="62"/>
      <c r="AW68" s="62"/>
      <c r="AX68" s="62"/>
      <c r="AY68" s="62"/>
      <c r="AZ68" s="62"/>
      <c r="BA68" s="62"/>
      <c r="BB68" s="62"/>
      <c r="BC68" s="62"/>
      <c r="BD68" s="62"/>
      <c r="BE68" s="62"/>
      <c r="BF68" s="62"/>
      <c r="BG68" s="62"/>
    </row>
    <row r="69" customFormat="false" ht="13.8" hidden="false" customHeight="false" outlineLevel="0" collapsed="false">
      <c r="B69" s="62"/>
      <c r="C69" s="62"/>
      <c r="D69" s="62"/>
      <c r="E69" s="62"/>
      <c r="F69" s="62"/>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62"/>
      <c r="AG69" s="62"/>
      <c r="AH69" s="62"/>
      <c r="AI69" s="62"/>
      <c r="AJ69" s="62"/>
      <c r="AK69" s="62"/>
      <c r="AL69" s="62"/>
      <c r="AM69" s="62"/>
      <c r="AN69" s="62"/>
      <c r="AO69" s="62"/>
      <c r="AP69" s="62"/>
      <c r="AQ69" s="62"/>
      <c r="AR69" s="62"/>
      <c r="AS69" s="62"/>
      <c r="AT69" s="62"/>
      <c r="AU69" s="62"/>
      <c r="AV69" s="62"/>
      <c r="AW69" s="62"/>
      <c r="AX69" s="62"/>
      <c r="AY69" s="62"/>
      <c r="AZ69" s="62"/>
      <c r="BA69" s="62"/>
      <c r="BB69" s="62"/>
      <c r="BC69" s="62"/>
      <c r="BD69" s="62"/>
      <c r="BE69" s="62"/>
      <c r="BF69" s="62"/>
      <c r="BG69" s="62"/>
    </row>
    <row r="70" customFormat="false" ht="13.8" hidden="false" customHeight="false" outlineLevel="0" collapsed="false">
      <c r="B70" s="62"/>
      <c r="C70" s="62"/>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2"/>
      <c r="AK70" s="62"/>
      <c r="AL70" s="62"/>
      <c r="AM70" s="62"/>
      <c r="AN70" s="62"/>
      <c r="AO70" s="62"/>
      <c r="AP70" s="62"/>
      <c r="AQ70" s="62"/>
      <c r="AR70" s="62"/>
      <c r="AS70" s="62"/>
      <c r="AT70" s="62"/>
      <c r="AU70" s="62"/>
      <c r="AV70" s="62"/>
      <c r="AW70" s="62"/>
      <c r="AX70" s="62"/>
      <c r="AY70" s="62"/>
      <c r="AZ70" s="62"/>
      <c r="BA70" s="62"/>
      <c r="BB70" s="62"/>
      <c r="BC70" s="62"/>
      <c r="BD70" s="62"/>
      <c r="BE70" s="62"/>
      <c r="BF70" s="62"/>
      <c r="BG70" s="62"/>
    </row>
    <row r="71" customFormat="false" ht="13.8" hidden="false" customHeight="false" outlineLevel="0" collapsed="false">
      <c r="B71" s="62"/>
      <c r="C71" s="62"/>
      <c r="D71" s="62"/>
      <c r="E71" s="62"/>
      <c r="F71" s="62"/>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62"/>
      <c r="AG71" s="62"/>
      <c r="AH71" s="62"/>
      <c r="AI71" s="62"/>
      <c r="AJ71" s="62"/>
      <c r="AK71" s="62"/>
      <c r="AL71" s="62"/>
      <c r="AM71" s="62"/>
      <c r="AN71" s="62"/>
      <c r="AO71" s="62"/>
      <c r="AP71" s="62"/>
      <c r="AQ71" s="62"/>
      <c r="AR71" s="62"/>
      <c r="AS71" s="62"/>
      <c r="AT71" s="62"/>
      <c r="AU71" s="62"/>
      <c r="AV71" s="62"/>
      <c r="AW71" s="62"/>
      <c r="AX71" s="62"/>
      <c r="AY71" s="62"/>
      <c r="AZ71" s="62"/>
      <c r="BA71" s="62"/>
      <c r="BB71" s="62"/>
      <c r="BC71" s="62"/>
      <c r="BD71" s="62"/>
      <c r="BE71" s="62"/>
      <c r="BF71" s="62"/>
      <c r="BG71" s="62"/>
    </row>
    <row r="72" customFormat="false" ht="13.8" hidden="false" customHeight="false" outlineLevel="0" collapsed="false">
      <c r="B72" s="62"/>
      <c r="C72" s="62"/>
      <c r="D72" s="62"/>
      <c r="E72" s="62"/>
      <c r="F72" s="62"/>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62"/>
      <c r="AG72" s="62"/>
      <c r="AH72" s="62"/>
      <c r="AI72" s="62"/>
      <c r="AJ72" s="62"/>
      <c r="AK72" s="62"/>
      <c r="AL72" s="62"/>
      <c r="AM72" s="62"/>
      <c r="AN72" s="62"/>
      <c r="AO72" s="62"/>
      <c r="AP72" s="62"/>
      <c r="AQ72" s="62"/>
      <c r="AR72" s="62"/>
      <c r="AS72" s="62"/>
      <c r="AT72" s="62"/>
      <c r="AU72" s="62"/>
      <c r="AV72" s="62"/>
      <c r="AW72" s="62"/>
      <c r="AX72" s="62"/>
      <c r="AY72" s="62"/>
      <c r="AZ72" s="62"/>
      <c r="BA72" s="62"/>
      <c r="BB72" s="62"/>
      <c r="BC72" s="62"/>
      <c r="BD72" s="62"/>
      <c r="BE72" s="62"/>
      <c r="BF72" s="62"/>
      <c r="BG72" s="62"/>
    </row>
    <row r="73" customFormat="false" ht="13.8" hidden="false" customHeight="false" outlineLevel="0" collapsed="false">
      <c r="B73" s="62"/>
      <c r="C73" s="62"/>
      <c r="D73" s="62"/>
      <c r="E73" s="62"/>
      <c r="F73" s="62"/>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62"/>
      <c r="AG73" s="62"/>
      <c r="AH73" s="62"/>
      <c r="AI73" s="62"/>
      <c r="AJ73" s="62"/>
      <c r="AK73" s="62"/>
      <c r="AL73" s="62"/>
      <c r="AM73" s="62"/>
      <c r="AN73" s="62"/>
      <c r="AO73" s="62"/>
      <c r="AP73" s="62"/>
      <c r="AQ73" s="62"/>
      <c r="AR73" s="62"/>
      <c r="AS73" s="62"/>
      <c r="AT73" s="62"/>
      <c r="AU73" s="62"/>
      <c r="AV73" s="62"/>
      <c r="AW73" s="62"/>
      <c r="AX73" s="62"/>
      <c r="AY73" s="62"/>
      <c r="AZ73" s="62"/>
      <c r="BA73" s="62"/>
      <c r="BB73" s="62"/>
      <c r="BC73" s="62"/>
      <c r="BD73" s="62"/>
      <c r="BE73" s="62"/>
      <c r="BF73" s="62"/>
      <c r="BG73" s="62"/>
    </row>
    <row r="74" customFormat="false" ht="13.8" hidden="false" customHeight="false" outlineLevel="0" collapsed="false">
      <c r="B74" s="62"/>
      <c r="C74" s="62"/>
      <c r="D74" s="62"/>
      <c r="E74" s="62"/>
      <c r="F74" s="62"/>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62"/>
      <c r="AG74" s="62"/>
      <c r="AH74" s="62"/>
      <c r="AI74" s="62"/>
      <c r="AJ74" s="62"/>
      <c r="AK74" s="62"/>
      <c r="AL74" s="62"/>
      <c r="AM74" s="62"/>
      <c r="AN74" s="62"/>
      <c r="AO74" s="62"/>
      <c r="AP74" s="62"/>
      <c r="AQ74" s="62"/>
      <c r="AR74" s="62"/>
      <c r="AS74" s="62"/>
      <c r="AT74" s="62"/>
      <c r="AU74" s="62"/>
      <c r="AV74" s="62"/>
      <c r="AW74" s="62"/>
      <c r="AX74" s="62"/>
      <c r="AY74" s="62"/>
      <c r="AZ74" s="62"/>
      <c r="BA74" s="62"/>
      <c r="BB74" s="62"/>
      <c r="BC74" s="62"/>
      <c r="BD74" s="62"/>
      <c r="BE74" s="62"/>
      <c r="BF74" s="62"/>
      <c r="BG74" s="62"/>
    </row>
    <row r="75" customFormat="false" ht="13.8" hidden="false" customHeight="false" outlineLevel="0" collapsed="false">
      <c r="B75" s="62"/>
      <c r="C75" s="62"/>
      <c r="D75" s="62"/>
      <c r="E75" s="62"/>
      <c r="F75" s="62"/>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62"/>
      <c r="AG75" s="62"/>
      <c r="AH75" s="62"/>
      <c r="AI75" s="62"/>
      <c r="AJ75" s="62"/>
      <c r="AK75" s="62"/>
      <c r="AL75" s="62"/>
      <c r="AM75" s="62"/>
      <c r="AN75" s="62"/>
      <c r="AO75" s="62"/>
      <c r="AP75" s="62"/>
      <c r="AQ75" s="62"/>
      <c r="AR75" s="62"/>
      <c r="AS75" s="62"/>
      <c r="AT75" s="62"/>
      <c r="AU75" s="62"/>
      <c r="AV75" s="62"/>
      <c r="AW75" s="62"/>
      <c r="AX75" s="62"/>
      <c r="AY75" s="62"/>
      <c r="AZ75" s="62"/>
      <c r="BA75" s="62"/>
      <c r="BB75" s="62"/>
      <c r="BC75" s="62"/>
      <c r="BD75" s="62"/>
      <c r="BE75" s="62"/>
      <c r="BF75" s="62"/>
      <c r="BG75" s="62"/>
    </row>
  </sheetData>
  <autoFilter ref="B5:D49"/>
  <mergeCells count="41">
    <mergeCell ref="I3:K3"/>
    <mergeCell ref="B6:B7"/>
    <mergeCell ref="C6:C7"/>
    <mergeCell ref="B8:B9"/>
    <mergeCell ref="C8:C9"/>
    <mergeCell ref="B10:B11"/>
    <mergeCell ref="C10:C11"/>
    <mergeCell ref="B12:B13"/>
    <mergeCell ref="C12:C13"/>
    <mergeCell ref="B14:B15"/>
    <mergeCell ref="C14:C15"/>
    <mergeCell ref="B16:B17"/>
    <mergeCell ref="C16:C17"/>
    <mergeCell ref="B18:B19"/>
    <mergeCell ref="C18:C19"/>
    <mergeCell ref="B20:B21"/>
    <mergeCell ref="C20:C21"/>
    <mergeCell ref="B22:B23"/>
    <mergeCell ref="C22:C23"/>
    <mergeCell ref="B24:B25"/>
    <mergeCell ref="C24:C25"/>
    <mergeCell ref="B26:B27"/>
    <mergeCell ref="C26:C27"/>
    <mergeCell ref="B28:B29"/>
    <mergeCell ref="C28:C29"/>
    <mergeCell ref="B30:B31"/>
    <mergeCell ref="C30:C31"/>
    <mergeCell ref="B32:B33"/>
    <mergeCell ref="C32:C33"/>
    <mergeCell ref="B34:B35"/>
    <mergeCell ref="C34:C35"/>
    <mergeCell ref="B36:B37"/>
    <mergeCell ref="C36:C37"/>
    <mergeCell ref="B38:B39"/>
    <mergeCell ref="C38:C39"/>
    <mergeCell ref="B40:B41"/>
    <mergeCell ref="C40:C41"/>
    <mergeCell ref="B42:B43"/>
    <mergeCell ref="C42:C43"/>
    <mergeCell ref="B44:B45"/>
    <mergeCell ref="C44:C45"/>
  </mergeCells>
  <conditionalFormatting sqref="E13:BF13 E15:BF15 E17:BF17 E19:BF19 E21:BF21 E23:BF23 E25:BF25 E27:BF27 E29:BF29 E31:BF31 E33:BF33 E35:BF35 E37:BF37 E39:BF39 E41:BF41 E43:BF43 E45:BF45">
    <cfRule type="cellIs" priority="2" operator="lessThan" aboveAverage="0" equalAverage="0" bottom="0" percent="0" rank="0" text="" dxfId="16">
      <formula>E12</formula>
    </cfRule>
    <cfRule type="cellIs" priority="3" operator="greaterThan" aboveAverage="0" equalAverage="0" bottom="0" percent="0" rank="0" text="" dxfId="17">
      <formula>E12</formula>
    </cfRule>
  </conditionalFormatting>
  <conditionalFormatting sqref="E11:BF11">
    <cfRule type="cellIs" priority="4" operator="lessThan" aboveAverage="0" equalAverage="0" bottom="0" percent="0" rank="0" text="" dxfId="18">
      <formula>E10</formula>
    </cfRule>
    <cfRule type="cellIs" priority="5" operator="greaterThan" aboveAverage="0" equalAverage="0" bottom="0" percent="0" rank="0" text="" dxfId="19">
      <formula>E10</formula>
    </cfRule>
  </conditionalFormatting>
  <conditionalFormatting sqref="E9:BF9">
    <cfRule type="cellIs" priority="6" operator="lessThan" aboveAverage="0" equalAverage="0" bottom="0" percent="0" rank="0" text="" dxfId="20">
      <formula>E$8</formula>
    </cfRule>
    <cfRule type="cellIs" priority="7" operator="greaterThan" aboveAverage="0" equalAverage="0" bottom="0" percent="0" rank="0" text="" dxfId="21">
      <formula>E$8</formula>
    </cfRule>
  </conditionalFormatting>
  <conditionalFormatting sqref="E7:BF7">
    <cfRule type="cellIs" priority="8" operator="lessThan" aboveAverage="0" equalAverage="0" bottom="0" percent="0" rank="0" text="" dxfId="22">
      <formula>E6</formula>
    </cfRule>
    <cfRule type="cellIs" priority="9" operator="greaterThan" aboveAverage="0" equalAverage="0" bottom="0" percent="0" rank="0" text="" dxfId="23">
      <formula>E6</formula>
    </cfRule>
  </conditionalFormatting>
  <conditionalFormatting sqref="F47:BF47">
    <cfRule type="containsErrors" priority="10" aboveAverage="0" equalAverage="0" bottom="0" percent="0" rank="0" text="" dxfId="24">
      <formula>ISERROR(F47)</formula>
    </cfRule>
  </conditionalFormatting>
  <conditionalFormatting sqref="E49:BF49">
    <cfRule type="containsErrors" priority="11" aboveAverage="0" equalAverage="0" bottom="0" percent="0" rank="0" text="" dxfId="25">
      <formula>ISERROR(E49)</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O11" activeCellId="0" sqref="O11"/>
    </sheetView>
  </sheetViews>
  <sheetFormatPr defaultColWidth="8.6796875" defaultRowHeight="14.25" customHeight="false"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customHeight="false" zeroHeight="false" outlineLevelRow="0" outlineLevelCol="0"/>
  <cols>
    <col collapsed="false" customWidth="true" hidden="false" outlineLevel="0" max="1" min="1" style="0" width="3.34"/>
    <col collapsed="false" customWidth="true" hidden="false" outlineLevel="0" max="2" min="2" style="0" width="68"/>
    <col collapsed="false" customWidth="true" hidden="false" outlineLevel="0" max="3" min="3" style="0" width="13.56"/>
  </cols>
  <sheetData>
    <row r="1" customFormat="false" ht="35.25" hidden="false" customHeight="true" outlineLevel="0" collapsed="false">
      <c r="A1" s="72"/>
      <c r="B1" s="73" t="s">
        <v>20</v>
      </c>
      <c r="C1" s="72"/>
    </row>
    <row r="2" customFormat="false" ht="15" hidden="false" customHeight="false" outlineLevel="0" collapsed="false">
      <c r="A2" s="74"/>
      <c r="B2" s="74"/>
      <c r="C2" s="75"/>
    </row>
    <row r="3" customFormat="false" ht="18.75" hidden="false" customHeight="true" outlineLevel="0" collapsed="false">
      <c r="A3" s="74"/>
      <c r="B3" s="74" t="s">
        <v>21</v>
      </c>
      <c r="C3" s="75"/>
    </row>
    <row r="4" customFormat="false" ht="15" hidden="false" customHeight="false" outlineLevel="0" collapsed="false">
      <c r="A4" s="74"/>
      <c r="B4" s="74"/>
      <c r="C4" s="75"/>
    </row>
    <row r="5" customFormat="false" ht="39.55" hidden="false" customHeight="false" outlineLevel="0" collapsed="false">
      <c r="A5" s="74"/>
      <c r="B5" s="76" t="s">
        <v>22</v>
      </c>
      <c r="C5" s="75"/>
    </row>
    <row r="6" customFormat="false" ht="15" hidden="false" customHeight="false" outlineLevel="0" collapsed="false">
      <c r="A6" s="74"/>
      <c r="B6" s="74"/>
      <c r="C6" s="75"/>
    </row>
    <row r="7" customFormat="false" ht="26.85" hidden="false" customHeight="false" outlineLevel="0" collapsed="false">
      <c r="A7" s="74"/>
      <c r="B7" s="76" t="s">
        <v>23</v>
      </c>
      <c r="C7" s="75"/>
    </row>
    <row r="8" customFormat="false" ht="15" hidden="false" customHeight="false" outlineLevel="0" collapsed="false">
      <c r="A8" s="74"/>
      <c r="B8" s="74"/>
      <c r="C8" s="75"/>
    </row>
    <row r="9" customFormat="false" ht="39.55" hidden="false" customHeight="false" outlineLevel="0" collapsed="false">
      <c r="A9" s="74"/>
      <c r="B9" s="76" t="s">
        <v>24</v>
      </c>
      <c r="C9" s="75"/>
    </row>
    <row r="10" customFormat="false" ht="15" hidden="false" customHeight="false" outlineLevel="0" collapsed="false">
      <c r="A10" s="74"/>
      <c r="B10" s="74"/>
      <c r="C10" s="75"/>
    </row>
    <row r="11" customFormat="false" ht="15" hidden="false" customHeight="false" outlineLevel="0" collapsed="false">
      <c r="A11" s="74"/>
      <c r="B11" s="74" t="s">
        <v>25</v>
      </c>
      <c r="C11" s="75"/>
    </row>
    <row r="12" customFormat="false" ht="15" hidden="false" customHeight="false" outlineLevel="0" collapsed="false">
      <c r="A12" s="74"/>
      <c r="B12" s="74"/>
      <c r="C12" s="75"/>
    </row>
    <row r="13" customFormat="false" ht="24" hidden="false" customHeight="true" outlineLevel="0" collapsed="false">
      <c r="A13" s="74"/>
      <c r="B13" s="77" t="s">
        <v>26</v>
      </c>
      <c r="C13" s="75"/>
    </row>
    <row r="14" customFormat="false" ht="15" hidden="false" customHeight="false" outlineLevel="0" collapsed="false">
      <c r="A14" s="74"/>
      <c r="B14" s="74"/>
      <c r="C14" s="75"/>
    </row>
    <row r="15" customFormat="false" ht="77.6" hidden="false" customHeight="false" outlineLevel="0" collapsed="false">
      <c r="A15" s="74"/>
      <c r="B15" s="76" t="s">
        <v>27</v>
      </c>
      <c r="C15" s="75"/>
    </row>
    <row r="16" customFormat="false" ht="15" hidden="false" customHeight="false" outlineLevel="0" collapsed="false">
      <c r="A16" s="74"/>
      <c r="B16" s="74"/>
      <c r="C16" s="75"/>
    </row>
    <row r="17" customFormat="false" ht="15" hidden="false" customHeight="false" outlineLevel="0" collapsed="false">
      <c r="A17" s="74"/>
      <c r="B17" s="74"/>
      <c r="C17" s="7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picture r:id="rId1"/>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2024-03-13T02:05:48Z</dcterms:created>
  <dc:creator>David McLachlan</dc:creator>
  <dc:description/>
  <dc:language>en-SG</dc:language>
  <cp:lastModifiedBy/>
  <dcterms:modified xsi:type="dcterms:W3CDTF">2026-08-19T22:20:54Z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