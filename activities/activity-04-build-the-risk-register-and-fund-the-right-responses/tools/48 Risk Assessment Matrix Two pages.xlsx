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D:\00 Documents\2018_11_Project_Management\PMBOK Tool Kit\Templates\"/>
    </mc:Choice>
  </mc:AlternateContent>
  <xr:revisionPtr revIDLastSave="0" documentId="13_ncr:1_{B645E533-110C-487B-A205-90822B063C7A}" xr6:coauthVersionLast="47" xr6:coauthVersionMax="47" xr10:uidLastSave="{00000000-0000-0000-0000-000000000000}"/>
  <bookViews>
    <workbookView xWindow="-108" yWindow="-108" windowWidth="23256" windowHeight="12576" xr2:uid="{00000000-000D-0000-FFFF-FFFF00000000}"/>
  </bookViews>
  <sheets>
    <sheet name="Risk Assessment Two Pages" sheetId="1" r:id="rId1"/>
    <sheet name="Risk Matrix" sheetId="3" r:id="rId2"/>
    <sheet name="©" sheetId="4" r:id="rId3"/>
  </sheets>
  <definedNames>
    <definedName name="_xlnm._FilterDatabase" localSheetId="0" hidden="1">'Risk Assessment Two Pages'!$B$5:$M$5</definedName>
    <definedName name="InherentImpact">'Risk Assessment Two Pages'!$G$6:$G$33</definedName>
    <definedName name="InherentProbability">'Risk Assessment Two Pages'!$F$6:$F$33</definedName>
    <definedName name="ResidualImpact">'Risk Assessment Two Pages'!$L$6:$L$33</definedName>
    <definedName name="ResidualProbability">'Risk Assessment Two Pages'!$K$6:$K$33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1" l="1"/>
  <c r="L35" i="1"/>
  <c r="G35" i="1"/>
  <c r="L34" i="1" l="1"/>
  <c r="K34" i="1"/>
  <c r="K35" i="1" s="1"/>
  <c r="G34" i="1"/>
  <c r="F35" i="1"/>
  <c r="B33" i="1"/>
  <c r="B32" i="1"/>
  <c r="B30" i="1"/>
  <c r="B29" i="1"/>
  <c r="B28" i="1"/>
  <c r="B31" i="1" s="1"/>
  <c r="B27" i="1"/>
  <c r="B26" i="1"/>
  <c r="B25" i="1"/>
  <c r="B24" i="1"/>
  <c r="B23" i="1"/>
  <c r="B22" i="1"/>
  <c r="B21" i="1"/>
  <c r="B20" i="1"/>
  <c r="B19" i="1"/>
  <c r="B18" i="1"/>
  <c r="B17" i="1"/>
  <c r="B16" i="1"/>
  <c r="B15" i="1"/>
  <c r="B14" i="1"/>
  <c r="B13" i="1"/>
  <c r="B12" i="1"/>
  <c r="B11" i="1"/>
  <c r="B10" i="1"/>
  <c r="B9" i="1"/>
  <c r="B8" i="1"/>
  <c r="B6" i="1"/>
  <c r="B7" i="1" s="1"/>
  <c r="H28" i="3"/>
  <c r="G28" i="3"/>
  <c r="F28" i="3"/>
  <c r="E28" i="3"/>
  <c r="D28" i="3"/>
  <c r="H27" i="3"/>
  <c r="G27" i="3"/>
  <c r="F27" i="3"/>
  <c r="E27" i="3"/>
  <c r="D27" i="3"/>
  <c r="H26" i="3"/>
  <c r="G26" i="3"/>
  <c r="F26" i="3"/>
  <c r="E26" i="3"/>
  <c r="D26" i="3"/>
  <c r="H25" i="3"/>
  <c r="G25" i="3"/>
  <c r="F25" i="3"/>
  <c r="E25" i="3"/>
  <c r="D25" i="3"/>
  <c r="H24" i="3"/>
  <c r="G24" i="3"/>
  <c r="F24" i="3"/>
  <c r="E24" i="3"/>
  <c r="D24" i="3"/>
  <c r="H19" i="3"/>
  <c r="G19" i="3"/>
  <c r="F19" i="3"/>
  <c r="E19" i="3"/>
  <c r="D19" i="3"/>
  <c r="H18" i="3"/>
  <c r="G18" i="3"/>
  <c r="F18" i="3"/>
  <c r="E18" i="3"/>
  <c r="D18" i="3"/>
  <c r="H17" i="3"/>
  <c r="G17" i="3"/>
  <c r="F17" i="3"/>
  <c r="E17" i="3"/>
  <c r="D17" i="3"/>
  <c r="H16" i="3"/>
  <c r="G16" i="3"/>
  <c r="F16" i="3"/>
  <c r="E16" i="3"/>
  <c r="D16" i="3"/>
  <c r="H15" i="3"/>
  <c r="G15" i="3"/>
  <c r="F15" i="3"/>
  <c r="E15" i="3"/>
  <c r="D15" i="3"/>
  <c r="M35" i="1" l="1"/>
  <c r="H35" i="1"/>
  <c r="H6" i="1"/>
  <c r="H23" i="3"/>
  <c r="G23" i="3"/>
  <c r="F23" i="3"/>
  <c r="E23" i="3"/>
  <c r="D23" i="3"/>
  <c r="H14" i="3"/>
  <c r="G14" i="3"/>
  <c r="F14" i="3"/>
  <c r="E14" i="3"/>
  <c r="D14" i="3"/>
  <c r="C28" i="3"/>
  <c r="C27" i="3"/>
  <c r="C26" i="3"/>
  <c r="C25" i="3"/>
  <c r="C24" i="3"/>
  <c r="C19" i="3"/>
  <c r="C18" i="3"/>
  <c r="C17" i="3"/>
  <c r="C16" i="3"/>
  <c r="C15" i="3"/>
  <c r="H5" i="3"/>
  <c r="G5" i="3"/>
  <c r="F5" i="3"/>
  <c r="E5" i="3"/>
  <c r="D5" i="3"/>
  <c r="C8" i="3"/>
  <c r="C7" i="3"/>
  <c r="C6" i="3"/>
  <c r="C9" i="3"/>
  <c r="C10" i="3"/>
  <c r="M13" i="1" l="1"/>
  <c r="M21" i="1"/>
  <c r="H24" i="1"/>
  <c r="M32" i="1"/>
  <c r="H19" i="1"/>
  <c r="H27" i="1"/>
  <c r="M28" i="1"/>
  <c r="M24" i="1"/>
  <c r="M19" i="1"/>
  <c r="H22" i="1"/>
  <c r="M27" i="1"/>
  <c r="H17" i="1"/>
  <c r="M22" i="1"/>
  <c r="H25" i="1"/>
  <c r="M33" i="1"/>
  <c r="M17" i="1"/>
  <c r="H20" i="1"/>
  <c r="M25" i="1"/>
  <c r="H28" i="1"/>
  <c r="H31" i="1"/>
  <c r="H26" i="1"/>
  <c r="H33" i="1"/>
  <c r="M20" i="1"/>
  <c r="H23" i="1"/>
  <c r="M31" i="1"/>
  <c r="M23" i="1"/>
  <c r="M30" i="1"/>
  <c r="H18" i="1"/>
  <c r="H29" i="1"/>
  <c r="M18" i="1"/>
  <c r="H21" i="1"/>
  <c r="M26" i="1"/>
  <c r="M29" i="1"/>
  <c r="H32" i="1"/>
  <c r="H30" i="1"/>
  <c r="M15" i="1"/>
  <c r="M10" i="1"/>
  <c r="M9" i="1"/>
  <c r="M11" i="1"/>
  <c r="M6" i="1"/>
  <c r="M8" i="1"/>
  <c r="M7" i="1"/>
  <c r="M14" i="1"/>
  <c r="M16" i="1"/>
  <c r="M12" i="1"/>
  <c r="H9" i="1"/>
  <c r="H7" i="1"/>
  <c r="H8" i="1"/>
  <c r="H11" i="1"/>
  <c r="H12" i="1"/>
  <c r="H13" i="1"/>
  <c r="H14" i="1"/>
  <c r="H15" i="1"/>
  <c r="H16" i="1"/>
  <c r="H10" i="1"/>
</calcChain>
</file>

<file path=xl/sharedStrings.xml><?xml version="1.0" encoding="utf-8"?>
<sst xmlns="http://schemas.openxmlformats.org/spreadsheetml/2006/main" count="154" uniqueCount="50">
  <si>
    <t>Unique ID</t>
  </si>
  <si>
    <t>Risk Assessment</t>
  </si>
  <si>
    <t>Impact</t>
  </si>
  <si>
    <t>Probability</t>
  </si>
  <si>
    <t>Risk Rating</t>
  </si>
  <si>
    <t>Control (s)</t>
  </si>
  <si>
    <t>Residual Probability</t>
  </si>
  <si>
    <t>Residual Impact</t>
  </si>
  <si>
    <t>Residual Risk Rating</t>
  </si>
  <si>
    <t>Inherent Risk
(Without controls)</t>
  </si>
  <si>
    <t>Residual Risk
(with controls)</t>
  </si>
  <si>
    <t>Risk Description</t>
  </si>
  <si>
    <t>Caused by &amp;
Consequences</t>
  </si>
  <si>
    <t>Low</t>
  </si>
  <si>
    <t>Medium</t>
  </si>
  <si>
    <t>High</t>
  </si>
  <si>
    <t>Sustainable</t>
  </si>
  <si>
    <t>Moderate</t>
  </si>
  <si>
    <t>Severe</t>
  </si>
  <si>
    <t>Critical</t>
  </si>
  <si>
    <t>Impact:</t>
  </si>
  <si>
    <t>Very Low</t>
  </si>
  <si>
    <t>Very High</t>
  </si>
  <si>
    <r>
      <t xml:space="preserve">Risk Owner (s)
</t>
    </r>
    <r>
      <rPr>
        <b/>
        <i/>
        <sz val="11"/>
        <color theme="0"/>
        <rFont val="Calibri"/>
        <family val="2"/>
        <scheme val="minor"/>
      </rPr>
      <t>Name and Role</t>
    </r>
  </si>
  <si>
    <r>
      <t xml:space="preserve">Control Owner (s)
</t>
    </r>
    <r>
      <rPr>
        <b/>
        <i/>
        <sz val="11"/>
        <color theme="0"/>
        <rFont val="Calibri"/>
        <family val="2"/>
        <scheme val="minor"/>
      </rPr>
      <t>Name and Role</t>
    </r>
  </si>
  <si>
    <t>Risk Matrix</t>
  </si>
  <si>
    <t>Master Risk Matrix</t>
  </si>
  <si>
    <t>Inherent Risk Matrix (before Controls)</t>
  </si>
  <si>
    <t>Residual Risk Matrix (after Controls)</t>
  </si>
  <si>
    <t xml:space="preserve">Caused by: 
Consequences: 
</t>
  </si>
  <si>
    <t>Date last updated:</t>
  </si>
  <si>
    <t xml:space="preserve">Jemima Hamilton, VP Sales;
</t>
  </si>
  <si>
    <t>Project or Area</t>
  </si>
  <si>
    <t>Updated by:</t>
  </si>
  <si>
    <t>Area Name:</t>
  </si>
  <si>
    <t>Risk 1</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</si>
  <si>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</si>
  <si>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</si>
  <si>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</si>
  <si>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</si>
  <si>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</si>
  <si>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Risk Assessment Template</t>
  </si>
  <si>
    <t>When you enter risks, the numbers to the left will appear automatically.</t>
  </si>
  <si>
    <r>
      <rPr>
        <b/>
        <sz val="11"/>
        <color theme="1"/>
        <rFont val="Calibri"/>
        <family val="2"/>
        <scheme val="minor"/>
      </rPr>
      <t>Note:</t>
    </r>
    <r>
      <rPr>
        <sz val="11"/>
        <color theme="1"/>
        <rFont val="Calibri"/>
        <family val="2"/>
        <scheme val="minor"/>
      </rPr>
      <t xml:space="preserve"> DO NOT edit the table below - change the values to the right in the blue table to update how you measure Probability and Impact in this Matrix</t>
    </r>
  </si>
  <si>
    <t>Do not delete this worksheet.</t>
  </si>
  <si>
    <t>©  2024  David McLachlan</t>
  </si>
  <si>
    <t>Overall Inherent Risk Rating</t>
  </si>
  <si>
    <t>Overall Residual Risk Rating</t>
  </si>
  <si>
    <t>Overall Inherent Risk Number</t>
  </si>
  <si>
    <t>Overall Residual Risk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</si>
</sst>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tint="0.34998626667073579"/>
      <name val="Calibri"/>
      <family val="2"/>
      <scheme val="minor"/>
    </font>
    <font>
      <sz val="10"/>
      <color theme="1" tint="0.34998626667073579"/>
      <name val="Calibri"/>
      <family val="2"/>
      <scheme val="minor"/>
    </font>
    <font>
      <sz val="12"/>
      <color theme="1" tint="0.14999847407452621"/>
      <name val="Calibri"/>
      <family val="2"/>
      <scheme val="minor"/>
    </font>
    <font>
      <sz val="12"/>
      <color theme="1"/>
      <name val="Calibri"/>
      <family val="2"/>
      <scheme val="minor"/>
    </font>
    <font>
      <sz val="14"/>
      <color theme="1"/>
      <name val="Calibri"/>
      <family val="2"/>
      <scheme val="minor"/>
    </font>
    <font>
      <sz val="20"/>
      <color theme="1"/>
      <name val="Calibri"/>
      <family val="2"/>
      <scheme val="minor"/>
    </font>
    <font>
      <b/>
      <i/>
      <sz val="11"/>
      <color theme="0"/>
      <name val="Calibri"/>
      <family val="2"/>
      <scheme val="minor"/>
    </font>
    <font>
      <sz val="16"/>
      <color theme="1"/>
      <name val="Calibri"/>
      <family val="2"/>
      <scheme val="minor"/>
    </font>
    <font>
      <sz val="11"/>
      <color theme="1"/>
      <name val="Arial"/>
      <family val="2"/>
    </font>
    <font>
      <sz val="9"/>
      <color theme="1"/>
      <name val="Arial"/>
      <family val="2"/>
    </font>
    <font>
      <sz val="24"/>
      <color theme="0"/>
      <name val="Calibri"/>
      <family val="2"/>
      <scheme val="minor"/>
    </font>
    <font>
      <sz val="9"/>
      <color theme="1" tint="0.34998626667073579"/>
      <name val="Calibri"/>
      <family val="2"/>
      <scheme val="minor"/>
    </font>
    <font>
      <b/>
      <sz val="11"/>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
      <b/>
      <sz val="12"/>
      <color theme="1"/>
      <name val="Calibri"/>
      <family val="2"/>
      <scheme val="minor"/>
    </font>
    <font>
      <sz val="12"/>
      <color theme="0"/>
      <name val="Calibri"/>
      <family val="2"/>
      <scheme val="minor"/>
    </font>
  </fonts>
  <fills count="11">
    <fill>
      <patternFill patternType="none"/>
    </fill>
    <fill>
      <patternFill patternType="gray125"/>
    </fill>
    <fill>
      <patternFill patternType="solid">
        <fgColor theme="3"/>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7C80"/>
        <bgColor indexed="64"/>
      </patternFill>
    </fill>
    <fill>
      <patternFill patternType="solid">
        <fgColor theme="0" tint="-4.9989318521683403E-2"/>
        <bgColor indexed="64"/>
      </patternFill>
    </fill>
    <fill>
      <patternFill patternType="solid">
        <fgColor theme="0"/>
        <bgColor indexed="64"/>
      </patternFill>
    </fill>
    <fill>
      <patternFill patternType="solid">
        <fgColor rgb="FF8FB9AB"/>
        <bgColor indexed="64"/>
      </patternFill>
    </fill>
  </fills>
  <borders count="45">
    <border>
      <left/>
      <right/>
      <top/>
      <bottom/>
      <diagonal/>
    </border>
    <border>
      <left style="medium">
        <color indexed="64"/>
      </left>
      <right/>
      <top style="medium">
        <color indexed="64"/>
      </top>
      <bottom style="thin">
        <color indexed="64"/>
      </bottom>
      <diagonal/>
    </border>
    <border>
      <left style="medium">
        <color indexed="64"/>
      </left>
      <right/>
      <top style="dashed">
        <color theme="1" tint="0.34998626667073579"/>
      </top>
      <bottom style="dashed">
        <color theme="1" tint="0.34998626667073579"/>
      </bottom>
      <diagonal/>
    </border>
    <border>
      <left style="thin">
        <color indexed="64"/>
      </left>
      <right style="thin">
        <color indexed="64"/>
      </right>
      <top style="dashed">
        <color theme="1" tint="0.34998626667073579"/>
      </top>
      <bottom style="dashed">
        <color theme="1" tint="0.34998626667073579"/>
      </bottom>
      <diagonal/>
    </border>
    <border>
      <left style="thin">
        <color indexed="64"/>
      </left>
      <right/>
      <top style="dashed">
        <color theme="1" tint="0.34998626667073579"/>
      </top>
      <bottom style="dashed">
        <color theme="1" tint="0.34998626667073579"/>
      </bottom>
      <diagonal/>
    </border>
    <border>
      <left style="thin">
        <color indexed="64"/>
      </left>
      <right/>
      <top/>
      <bottom style="dashed">
        <color theme="1" tint="0.34998626667073579"/>
      </bottom>
      <diagonal/>
    </border>
    <border>
      <left style="thin">
        <color indexed="64"/>
      </left>
      <right style="medium">
        <color indexed="64"/>
      </right>
      <top/>
      <bottom style="dashed">
        <color theme="1" tint="0.34998626667073579"/>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style="medium">
        <color indexed="64"/>
      </right>
      <top style="dotted">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auto="1"/>
      </right>
      <top style="medium">
        <color indexed="64"/>
      </top>
      <bottom style="thin">
        <color indexed="64"/>
      </bottom>
      <diagonal/>
    </border>
    <border>
      <left style="thin">
        <color indexed="64"/>
      </left>
      <right/>
      <top style="medium">
        <color indexed="64"/>
      </top>
      <bottom style="medium">
        <color indexed="64"/>
      </bottom>
      <diagonal/>
    </border>
    <border>
      <left/>
      <right/>
      <top/>
      <bottom style="medium">
        <color theme="3"/>
      </bottom>
      <diagonal/>
    </border>
    <border>
      <left style="medium">
        <color indexed="64"/>
      </left>
      <right/>
      <top style="medium">
        <color indexed="64"/>
      </top>
      <bottom style="dashed">
        <color theme="1" tint="0.34998626667073579"/>
      </bottom>
      <diagonal/>
    </border>
    <border>
      <left style="thin">
        <color indexed="64"/>
      </left>
      <right style="thin">
        <color indexed="64"/>
      </right>
      <top style="medium">
        <color indexed="64"/>
      </top>
      <bottom style="dashed">
        <color theme="1" tint="0.34998626667073579"/>
      </bottom>
      <diagonal/>
    </border>
    <border>
      <left style="thin">
        <color indexed="64"/>
      </left>
      <right/>
      <top style="medium">
        <color indexed="64"/>
      </top>
      <bottom style="dashed">
        <color theme="1" tint="0.34998626667073579"/>
      </bottom>
      <diagonal/>
    </border>
    <border>
      <left style="thin">
        <color indexed="64"/>
      </left>
      <right style="medium">
        <color indexed="64"/>
      </right>
      <top style="medium">
        <color indexed="64"/>
      </top>
      <bottom style="dashed">
        <color theme="1" tint="0.34998626667073579"/>
      </bottom>
      <diagonal/>
    </border>
    <border>
      <left style="medium">
        <color indexed="64"/>
      </left>
      <right/>
      <top style="dashed">
        <color theme="1" tint="0.34998626667073579"/>
      </top>
      <bottom style="medium">
        <color indexed="64"/>
      </bottom>
      <diagonal/>
    </border>
    <border>
      <left style="thin">
        <color indexed="64"/>
      </left>
      <right style="thin">
        <color indexed="64"/>
      </right>
      <top style="dashed">
        <color theme="1" tint="0.34998626667073579"/>
      </top>
      <bottom style="medium">
        <color indexed="64"/>
      </bottom>
      <diagonal/>
    </border>
    <border>
      <left style="thin">
        <color indexed="64"/>
      </left>
      <right/>
      <top style="dashed">
        <color theme="1" tint="0.34998626667073579"/>
      </top>
      <bottom style="medium">
        <color indexed="64"/>
      </bottom>
      <diagonal/>
    </border>
  </borders>
  <cellStyleXfs count="1">
    <xf numFmtId="0" fontId="0" fillId="0" borderId="0"/>
  </cellStyleXfs>
  <cellXfs count="101">
    <xf numFmtId="0" fontId="0" fillId="0" borderId="0" xfId="0"/>
    <xf numFmtId="0" fontId="1" fillId="2" borderId="0" xfId="0" applyFont="1" applyFill="1" applyAlignment="1">
      <alignment horizontal="right" vertical="center" indent="1"/>
    </xf>
    <xf numFmtId="0" fontId="1" fillId="2" borderId="0" xfId="0" applyFont="1" applyFill="1" applyAlignment="1">
      <alignment vertical="center"/>
    </xf>
    <xf numFmtId="0" fontId="6" fillId="0" borderId="2" xfId="0" applyFont="1" applyBorder="1" applyAlignment="1">
      <alignment horizontal="center" vertical="center" wrapText="1"/>
    </xf>
    <xf numFmtId="15" fontId="4" fillId="2" borderId="0" xfId="0" applyNumberFormat="1" applyFont="1" applyFill="1" applyAlignment="1">
      <alignment horizontal="left" vertical="center" indent="1"/>
    </xf>
    <xf numFmtId="0" fontId="9" fillId="0" borderId="0" xfId="0" applyFont="1" applyAlignment="1">
      <alignment vertical="center" textRotation="90"/>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0" xfId="0" applyFont="1" applyAlignment="1">
      <alignment horizontal="center" vertical="center"/>
    </xf>
    <xf numFmtId="0" fontId="8" fillId="4" borderId="17"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3" xfId="0" applyFont="1" applyFill="1" applyBorder="1" applyAlignment="1">
      <alignment horizontal="center" vertical="center"/>
    </xf>
    <xf numFmtId="0" fontId="8" fillId="6" borderId="18" xfId="0" applyFont="1" applyFill="1" applyBorder="1" applyAlignment="1">
      <alignment horizontal="center" vertical="center"/>
    </xf>
    <xf numFmtId="0" fontId="8" fillId="5" borderId="19" xfId="0" applyFont="1" applyFill="1" applyBorder="1" applyAlignment="1">
      <alignment horizontal="center" vertical="center"/>
    </xf>
    <xf numFmtId="0" fontId="8" fillId="4" borderId="19" xfId="0" applyFont="1" applyFill="1" applyBorder="1" applyAlignment="1">
      <alignment horizontal="center" vertical="center"/>
    </xf>
    <xf numFmtId="0" fontId="8" fillId="7" borderId="19" xfId="0" applyFont="1" applyFill="1" applyBorder="1" applyAlignment="1">
      <alignment horizontal="center" vertical="center"/>
    </xf>
    <xf numFmtId="0" fontId="8" fillId="7" borderId="14" xfId="0" applyFont="1" applyFill="1" applyBorder="1" applyAlignment="1">
      <alignment horizontal="center" vertical="center"/>
    </xf>
    <xf numFmtId="0" fontId="8" fillId="6" borderId="19" xfId="0" applyFont="1" applyFill="1" applyBorder="1" applyAlignment="1">
      <alignment horizontal="center" vertical="center"/>
    </xf>
    <xf numFmtId="0" fontId="8" fillId="6" borderId="20" xfId="0" applyFont="1" applyFill="1" applyBorder="1" applyAlignment="1">
      <alignment horizontal="center" vertical="center"/>
    </xf>
    <xf numFmtId="0" fontId="8" fillId="6" borderId="21" xfId="0" applyFont="1" applyFill="1" applyBorder="1" applyAlignment="1">
      <alignment horizontal="center" vertical="center"/>
    </xf>
    <xf numFmtId="0" fontId="8" fillId="5" borderId="21" xfId="0" applyFont="1" applyFill="1" applyBorder="1" applyAlignment="1">
      <alignment horizontal="center" vertical="center"/>
    </xf>
    <xf numFmtId="0" fontId="8" fillId="4" borderId="15" xfId="0" applyFont="1" applyFill="1" applyBorder="1" applyAlignment="1">
      <alignment horizontal="center" vertical="center"/>
    </xf>
    <xf numFmtId="0" fontId="9" fillId="0" borderId="8" xfId="0" applyFont="1" applyBorder="1" applyAlignment="1">
      <alignment vertical="center"/>
    </xf>
    <xf numFmtId="0" fontId="9" fillId="0" borderId="9" xfId="0" applyFont="1" applyBorder="1" applyAlignment="1">
      <alignment vertical="center"/>
    </xf>
    <xf numFmtId="0" fontId="6" fillId="0" borderId="5" xfId="0" applyFont="1" applyBorder="1" applyAlignment="1">
      <alignment horizontal="center" vertical="center" wrapText="1"/>
    </xf>
    <xf numFmtId="0" fontId="6" fillId="0" borderId="4" xfId="0" applyFont="1" applyBorder="1" applyAlignment="1">
      <alignment horizontal="center" vertical="center" wrapText="1"/>
    </xf>
    <xf numFmtId="0" fontId="11" fillId="0" borderId="0" xfId="0" applyFont="1"/>
    <xf numFmtId="0" fontId="9" fillId="0" borderId="0" xfId="0" applyFont="1"/>
    <xf numFmtId="0" fontId="1" fillId="0" borderId="0" xfId="0" applyFont="1" applyAlignment="1">
      <alignment horizontal="center" vertical="center"/>
    </xf>
    <xf numFmtId="0" fontId="0" fillId="0" borderId="0" xfId="0" applyAlignment="1">
      <alignment horizontal="center" vertical="center"/>
    </xf>
    <xf numFmtId="0" fontId="7" fillId="0" borderId="23" xfId="0" applyFont="1" applyBorder="1" applyAlignment="1">
      <alignment horizontal="center" vertical="center"/>
    </xf>
    <xf numFmtId="0" fontId="7" fillId="0" borderId="9" xfId="0" applyFont="1" applyBorder="1" applyAlignment="1">
      <alignment horizontal="center" vertical="center"/>
    </xf>
    <xf numFmtId="0" fontId="8" fillId="0" borderId="0" xfId="0" applyFont="1" applyAlignment="1">
      <alignment horizontal="center" vertical="center"/>
    </xf>
    <xf numFmtId="0" fontId="6" fillId="0" borderId="6" xfId="0" applyFont="1" applyBorder="1" applyAlignment="1">
      <alignment horizontal="center" vertical="center" wrapText="1"/>
    </xf>
    <xf numFmtId="0" fontId="1" fillId="2" borderId="27" xfId="0" applyFont="1" applyFill="1" applyBorder="1" applyAlignment="1">
      <alignment horizontal="center" vertical="center"/>
    </xf>
    <xf numFmtId="0" fontId="3" fillId="3" borderId="27" xfId="0" applyFont="1" applyFill="1" applyBorder="1" applyAlignment="1">
      <alignment horizontal="center" vertical="center"/>
    </xf>
    <xf numFmtId="0" fontId="1" fillId="2" borderId="26" xfId="0" applyFont="1" applyFill="1" applyBorder="1" applyAlignment="1">
      <alignment horizontal="center" vertical="center"/>
    </xf>
    <xf numFmtId="0" fontId="3" fillId="3" borderId="26" xfId="0" applyFont="1" applyFill="1" applyBorder="1" applyAlignment="1">
      <alignment horizontal="center" vertical="center"/>
    </xf>
    <xf numFmtId="0" fontId="8" fillId="5" borderId="28" xfId="0" applyFont="1" applyFill="1" applyBorder="1" applyAlignment="1">
      <alignment horizontal="center" vertical="center"/>
    </xf>
    <xf numFmtId="0" fontId="8" fillId="6" borderId="29" xfId="0" applyFont="1" applyFill="1" applyBorder="1" applyAlignment="1">
      <alignment horizontal="center" vertical="center"/>
    </xf>
    <xf numFmtId="0" fontId="8" fillId="6" borderId="30" xfId="0" applyFont="1" applyFill="1" applyBorder="1" applyAlignment="1">
      <alignment horizontal="center" vertical="center"/>
    </xf>
    <xf numFmtId="0" fontId="0" fillId="8" borderId="0" xfId="0" applyFill="1"/>
    <xf numFmtId="0" fontId="9" fillId="8" borderId="0" xfId="0" applyFont="1" applyFill="1" applyAlignment="1">
      <alignment vertical="center"/>
    </xf>
    <xf numFmtId="0" fontId="9" fillId="8" borderId="0" xfId="0" applyFont="1" applyFill="1" applyAlignment="1">
      <alignment vertical="center" textRotation="90"/>
    </xf>
    <xf numFmtId="0" fontId="7" fillId="8" borderId="0" xfId="0" applyFont="1" applyFill="1" applyAlignment="1">
      <alignment horizontal="center" vertical="center"/>
    </xf>
    <xf numFmtId="0" fontId="8" fillId="8" borderId="0" xfId="0" applyFont="1" applyFill="1" applyAlignment="1">
      <alignment horizontal="center" vertical="center"/>
    </xf>
    <xf numFmtId="0" fontId="3" fillId="0" borderId="0" xfId="0" applyFont="1" applyAlignment="1">
      <alignment horizontal="center" vertical="center"/>
    </xf>
    <xf numFmtId="0" fontId="5" fillId="0" borderId="3" xfId="0" applyFont="1" applyBorder="1" applyAlignment="1">
      <alignment horizontal="left" vertical="center" wrapText="1" indent="1"/>
    </xf>
    <xf numFmtId="0" fontId="15" fillId="0" borderId="4" xfId="0" applyFont="1" applyBorder="1" applyAlignment="1">
      <alignment horizontal="left" vertical="top" wrapText="1" indent="1"/>
    </xf>
    <xf numFmtId="0" fontId="5" fillId="0" borderId="4" xfId="0" applyFont="1" applyBorder="1" applyAlignment="1">
      <alignment horizontal="left" vertical="center" wrapText="1" indent="1"/>
    </xf>
    <xf numFmtId="15" fontId="4" fillId="9" borderId="0" xfId="0" applyNumberFormat="1" applyFont="1" applyFill="1" applyAlignment="1">
      <alignment horizontal="center" vertical="center"/>
    </xf>
    <xf numFmtId="0" fontId="4" fillId="9" borderId="31" xfId="0" applyFont="1" applyFill="1" applyBorder="1" applyAlignment="1">
      <alignment horizontal="left" vertical="center" indent="1"/>
    </xf>
    <xf numFmtId="0" fontId="1" fillId="10" borderId="8" xfId="0" applyFont="1" applyFill="1" applyBorder="1" applyAlignment="1">
      <alignment horizontal="center" vertical="top" wrapText="1"/>
    </xf>
    <xf numFmtId="0" fontId="1" fillId="10" borderId="36" xfId="0" applyFont="1" applyFill="1" applyBorder="1" applyAlignment="1">
      <alignment horizontal="center" vertical="top" wrapText="1"/>
    </xf>
    <xf numFmtId="0" fontId="1" fillId="10" borderId="22" xfId="0" applyFont="1" applyFill="1" applyBorder="1" applyAlignment="1">
      <alignment horizontal="center" vertical="top" wrapText="1"/>
    </xf>
    <xf numFmtId="0" fontId="1" fillId="10" borderId="25" xfId="0" applyFont="1" applyFill="1" applyBorder="1" applyAlignment="1">
      <alignment horizontal="center" vertical="top" wrapText="1"/>
    </xf>
    <xf numFmtId="0" fontId="16" fillId="2" borderId="0" xfId="0" applyFont="1" applyFill="1"/>
    <xf numFmtId="0" fontId="17" fillId="2" borderId="0" xfId="0" applyFont="1" applyFill="1" applyAlignment="1">
      <alignment vertical="center"/>
    </xf>
    <xf numFmtId="0" fontId="18" fillId="9" borderId="0" xfId="0" applyFont="1" applyFill="1" applyAlignment="1">
      <alignment vertical="center"/>
    </xf>
    <xf numFmtId="0" fontId="12" fillId="9" borderId="0" xfId="0" applyFont="1" applyFill="1" applyAlignment="1">
      <alignment vertical="center"/>
    </xf>
    <xf numFmtId="0" fontId="18" fillId="9" borderId="0" xfId="0" applyFont="1" applyFill="1" applyAlignment="1">
      <alignment vertical="center" wrapText="1"/>
    </xf>
    <xf numFmtId="0" fontId="20" fillId="9" borderId="37" xfId="0" applyFont="1" applyFill="1" applyBorder="1" applyAlignment="1">
      <alignment vertical="center"/>
    </xf>
    <xf numFmtId="0" fontId="13" fillId="8" borderId="0" xfId="0" applyFont="1" applyFill="1" applyAlignment="1">
      <alignment horizontal="right" vertical="center"/>
    </xf>
    <xf numFmtId="0" fontId="6" fillId="0" borderId="38" xfId="0" applyFont="1" applyBorder="1" applyAlignment="1">
      <alignment horizontal="center" vertical="center" wrapText="1"/>
    </xf>
    <xf numFmtId="0" fontId="5" fillId="0" borderId="39" xfId="0" applyFont="1" applyBorder="1" applyAlignment="1">
      <alignment horizontal="left" vertical="center" wrapText="1" indent="1"/>
    </xf>
    <xf numFmtId="0" fontId="15" fillId="0" borderId="40" xfId="0" applyFont="1" applyBorder="1" applyAlignment="1">
      <alignment horizontal="left" vertical="top" wrapText="1" indent="1"/>
    </xf>
    <xf numFmtId="0" fontId="5" fillId="0" borderId="40" xfId="0" applyFont="1" applyBorder="1" applyAlignment="1">
      <alignment horizontal="left" vertical="center" wrapText="1" inden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42" xfId="0" applyFont="1" applyBorder="1" applyAlignment="1">
      <alignment horizontal="center" vertical="center" wrapText="1"/>
    </xf>
    <xf numFmtId="0" fontId="5" fillId="0" borderId="43" xfId="0" applyFont="1" applyBorder="1" applyAlignment="1">
      <alignment horizontal="left" vertical="center" wrapText="1" indent="1"/>
    </xf>
    <xf numFmtId="0" fontId="15" fillId="0" borderId="44" xfId="0" applyFont="1" applyBorder="1" applyAlignment="1">
      <alignment horizontal="left" vertical="top" wrapText="1" indent="1"/>
    </xf>
    <xf numFmtId="0" fontId="5" fillId="0" borderId="44" xfId="0" applyFont="1" applyBorder="1" applyAlignment="1">
      <alignment horizontal="left" vertical="center" wrapText="1" indent="1"/>
    </xf>
    <xf numFmtId="0" fontId="6" fillId="0" borderId="44"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5" xfId="0" applyFont="1" applyBorder="1" applyAlignment="1">
      <alignment horizontal="center" vertical="center" wrapText="1"/>
    </xf>
    <xf numFmtId="0" fontId="1" fillId="10" borderId="22" xfId="0" applyFont="1" applyFill="1" applyBorder="1" applyAlignment="1">
      <alignment horizontal="center" vertical="center" wrapText="1"/>
    </xf>
    <xf numFmtId="0" fontId="1" fillId="10" borderId="36" xfId="0" applyFont="1" applyFill="1" applyBorder="1" applyAlignment="1">
      <alignment horizontal="center" vertical="center" wrapText="1"/>
    </xf>
    <xf numFmtId="17" fontId="0" fillId="8" borderId="0" xfId="0" quotePrefix="1" applyNumberFormat="1" applyFill="1" applyAlignment="1">
      <alignment horizontal="center" vertical="center"/>
    </xf>
    <xf numFmtId="0" fontId="0" fillId="8" borderId="0" xfId="0" quotePrefix="1" applyFill="1" applyAlignment="1">
      <alignment horizontal="center" vertical="center"/>
    </xf>
    <xf numFmtId="0" fontId="7" fillId="0" borderId="31" xfId="0" applyFont="1" applyBorder="1" applyAlignment="1">
      <alignment horizontal="center" vertical="center"/>
    </xf>
    <xf numFmtId="0" fontId="6" fillId="0" borderId="31" xfId="0" applyFont="1" applyBorder="1" applyAlignment="1">
      <alignment horizontal="center" vertical="center" wrapText="1"/>
    </xf>
    <xf numFmtId="0" fontId="21" fillId="0" borderId="32" xfId="0" applyFont="1" applyBorder="1" applyAlignment="1">
      <alignment horizontal="center" vertical="center" wrapText="1"/>
    </xf>
    <xf numFmtId="2" fontId="22" fillId="3" borderId="0" xfId="0" applyNumberFormat="1" applyFont="1" applyFill="1" applyAlignment="1">
      <alignment horizontal="center" vertical="center"/>
    </xf>
    <xf numFmtId="0" fontId="3" fillId="0" borderId="0" xfId="0" applyFont="1"/>
    <xf numFmtId="0" fontId="22" fillId="3" borderId="0" xfId="0" applyFont="1" applyFill="1" applyAlignment="1">
      <alignment horizontal="center" vertical="center" wrapText="1"/>
    </xf>
    <xf numFmtId="0" fontId="0" fillId="0" borderId="0" xfId="0" applyAlignment="1">
      <alignment vertical="center"/>
    </xf>
    <xf numFmtId="0" fontId="14" fillId="2" borderId="7" xfId="0" applyFont="1" applyFill="1" applyBorder="1" applyAlignment="1">
      <alignment horizontal="center" vertical="top"/>
    </xf>
    <xf numFmtId="0" fontId="1" fillId="10" borderId="1" xfId="0" applyFont="1" applyFill="1" applyBorder="1" applyAlignment="1">
      <alignment horizontal="center" vertical="center" wrapText="1"/>
    </xf>
    <xf numFmtId="0" fontId="1" fillId="10" borderId="34" xfId="0" applyFont="1" applyFill="1" applyBorder="1" applyAlignment="1">
      <alignment horizontal="center" vertical="center"/>
    </xf>
    <xf numFmtId="0" fontId="1" fillId="10" borderId="35" xfId="0" applyFont="1" applyFill="1" applyBorder="1" applyAlignment="1">
      <alignment horizontal="center" vertical="center"/>
    </xf>
    <xf numFmtId="0" fontId="4" fillId="9" borderId="32" xfId="0" applyFont="1" applyFill="1" applyBorder="1" applyAlignment="1">
      <alignment horizontal="left" vertical="center" indent="1"/>
    </xf>
    <xf numFmtId="0" fontId="4" fillId="9" borderId="33" xfId="0" applyFont="1" applyFill="1" applyBorder="1" applyAlignment="1">
      <alignment horizontal="left" vertical="center" indent="1"/>
    </xf>
    <xf numFmtId="0" fontId="4" fillId="9" borderId="27" xfId="0" applyFont="1" applyFill="1" applyBorder="1" applyAlignment="1">
      <alignment horizontal="left" vertical="center" indent="1"/>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textRotation="90"/>
    </xf>
    <xf numFmtId="0" fontId="9" fillId="0" borderId="11" xfId="0" applyFont="1" applyBorder="1" applyAlignment="1">
      <alignment horizontal="center" vertical="center" textRotation="90"/>
    </xf>
    <xf numFmtId="0" fontId="9" fillId="0" borderId="12" xfId="0" applyFont="1" applyBorder="1" applyAlignment="1">
      <alignment horizontal="center" vertical="center" textRotation="90"/>
    </xf>
    <xf numFmtId="0" fontId="0" fillId="0" borderId="24" xfId="0" applyBorder="1" applyAlignment="1">
      <alignment horizontal="left" wrapText="1"/>
    </xf>
  </cellXfs>
  <cellStyles count="1">
    <cellStyle name="Normal" xfId="0" builtinId="0"/>
  </cellStyles>
  <dxfs count="16">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
      <fill>
        <patternFill>
          <bgColor theme="5" tint="0.59996337778862885"/>
        </patternFill>
      </fill>
    </dxf>
    <dxf>
      <fill>
        <patternFill>
          <bgColor rgb="FFFF9999"/>
        </patternFill>
      </fill>
    </dxf>
    <dxf>
      <fill>
        <patternFill>
          <bgColor theme="7" tint="0.79998168889431442"/>
        </patternFill>
      </fill>
    </dxf>
    <dxf>
      <fill>
        <patternFill>
          <bgColor theme="9" tint="0.79998168889431442"/>
        </patternFill>
      </fill>
    </dxf>
  </dxfs>
  <tableStyles count="1" defaultTableStyle="TableStyleMedium2" defaultPivotStyle="PivotStyleLight16">
    <tableStyle name="Table Style 1" pivot="0" count="0" xr9:uid="{00000000-0011-0000-FFFF-FFFF00000000}"/>
  </tableStyles>
  <colors>
    <mruColors>
      <color rgb="FFFF7C80"/>
      <color rgb="FFFDDBB1"/>
      <color rgb="FF8FB9AB"/>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13</xdr:col>
      <xdr:colOff>183777</xdr:colOff>
      <xdr:row>16</xdr:row>
      <xdr:rowOff>159571</xdr:rowOff>
    </xdr:from>
    <xdr:to>
      <xdr:col>22</xdr:col>
      <xdr:colOff>563880</xdr:colOff>
      <xdr:row>16</xdr:row>
      <xdr:rowOff>446442</xdr:rowOff>
    </xdr:to>
    <xdr:sp macro="" textlink="">
      <xdr:nvSpPr>
        <xdr:cNvPr id="2" name="TextBox 1">
          <a:extLst>
            <a:ext uri="{FF2B5EF4-FFF2-40B4-BE49-F238E27FC236}">
              <a16:creationId xmlns:a16="http://schemas.microsoft.com/office/drawing/2014/main" id="{B25B3365-CF73-4CAE-999F-453BD85A4247}"/>
            </a:ext>
          </a:extLst>
        </xdr:cNvPr>
        <xdr:cNvSpPr txBox="1"/>
      </xdr:nvSpPr>
      <xdr:spPr>
        <a:xfrm>
          <a:off x="14364597" y="8511091"/>
          <a:ext cx="6011283" cy="28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18000" rIns="18000" bIns="18000" rtlCol="0" anchor="ctr"/>
        <a:lstStyle/>
        <a:p>
          <a:pPr algn="l"/>
          <a:r>
            <a:rPr lang="en-AU" sz="1000">
              <a:latin typeface="Segoe UI Symbol" panose="020B0502040204020203" pitchFamily="34" charset="0"/>
              <a:ea typeface="Segoe UI Symbol" panose="020B0502040204020203" pitchFamily="34" charset="0"/>
              <a:cs typeface="Arial" panose="020B0604020202020204" pitchFamily="34" charset="0"/>
            </a:rPr>
            <a:t>◀ Insert rows</a:t>
          </a:r>
          <a:r>
            <a:rPr lang="en-AU" sz="1000" baseline="0">
              <a:latin typeface="Segoe UI Symbol" panose="020B0502040204020203" pitchFamily="34" charset="0"/>
              <a:ea typeface="Segoe UI Symbol" panose="020B0502040204020203" pitchFamily="34" charset="0"/>
              <a:cs typeface="Arial" panose="020B0604020202020204" pitchFamily="34" charset="0"/>
            </a:rPr>
            <a:t> to add more risks. Drag and copy an existing row down to keep formulas the same.</a:t>
          </a:r>
          <a:endParaRPr lang="en-AU" sz="10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784860</xdr:colOff>
      <xdr:row>2</xdr:row>
      <xdr:rowOff>15240</xdr:rowOff>
    </xdr:from>
    <xdr:to>
      <xdr:col>10</xdr:col>
      <xdr:colOff>0</xdr:colOff>
      <xdr:row>2</xdr:row>
      <xdr:rowOff>281940</xdr:rowOff>
    </xdr:to>
    <xdr:sp macro="" textlink="">
      <xdr:nvSpPr>
        <xdr:cNvPr id="2" name="TextBox 1">
          <a:extLst>
            <a:ext uri="{FF2B5EF4-FFF2-40B4-BE49-F238E27FC236}">
              <a16:creationId xmlns:a16="http://schemas.microsoft.com/office/drawing/2014/main" id="{46425060-86F1-4D40-8364-C0E48B6A70BE}"/>
            </a:ext>
          </a:extLst>
        </xdr:cNvPr>
        <xdr:cNvSpPr txBox="1"/>
      </xdr:nvSpPr>
      <xdr:spPr>
        <a:xfrm>
          <a:off x="2857500" y="525780"/>
          <a:ext cx="4564380" cy="266700"/>
        </a:xfrm>
        <a:prstGeom prst="rect">
          <a:avLst/>
        </a:prstGeom>
        <a:solidFill>
          <a:srgbClr val="FDDBB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000" tIns="18000" rIns="18000" bIns="18000" rtlCol="0" anchor="ctr"/>
        <a:lstStyle/>
        <a:p>
          <a:pPr algn="r"/>
          <a:r>
            <a:rPr lang="en-AU" sz="900">
              <a:latin typeface="Arial" panose="020B0604020202020204" pitchFamily="34" charset="0"/>
              <a:cs typeface="Arial" panose="020B0604020202020204" pitchFamily="34" charset="0"/>
            </a:rPr>
            <a:t> </a:t>
          </a:r>
          <a:r>
            <a:rPr lang="en-AU" sz="900" b="1">
              <a:latin typeface="Arial" panose="020B0604020202020204" pitchFamily="34" charset="0"/>
              <a:cs typeface="Arial" panose="020B0604020202020204" pitchFamily="34" charset="0"/>
            </a:rPr>
            <a:t>Change these items </a:t>
          </a:r>
          <a:r>
            <a:rPr lang="en-AU" sz="900">
              <a:latin typeface="Arial" panose="020B0604020202020204" pitchFamily="34" charset="0"/>
              <a:cs typeface="Arial" panose="020B0604020202020204" pitchFamily="34" charset="0"/>
            </a:rPr>
            <a:t>to change the way you measure Probability and Impact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74"/>
  <sheetViews>
    <sheetView showGridLines="0" tabSelected="1" zoomScaleNormal="100" workbookViewId="0"/>
  </sheetViews>
  <sheetFormatPr defaultRowHeight="14.4" x14ac:dyDescent="0.3"/>
  <cols>
    <col min="1" max="1" width="1.5546875" customWidth="1"/>
    <col min="2" max="2" width="7.6640625" customWidth="1"/>
    <col min="3" max="3" width="29.109375" customWidth="1"/>
    <col min="4" max="4" width="31.33203125" customWidth="1"/>
    <col min="5" max="5" width="20.109375" customWidth="1"/>
    <col min="6" max="6" width="11.44140625" customWidth="1"/>
    <col min="7" max="7" width="12.33203125" customWidth="1"/>
    <col min="8" max="8" width="11.77734375" customWidth="1"/>
    <col min="9" max="9" width="26.21875" customWidth="1"/>
    <col min="10" max="10" width="19.6640625" customWidth="1"/>
    <col min="11" max="11" width="12.109375" customWidth="1"/>
    <col min="12" max="12" width="11.33203125" customWidth="1"/>
    <col min="13" max="13" width="12.109375" customWidth="1"/>
    <col min="14" max="14" width="10.77734375" bestFit="1" customWidth="1"/>
    <col min="15" max="15" width="9.109375" bestFit="1" customWidth="1"/>
  </cols>
  <sheetData>
    <row r="1" spans="2:15" ht="35.4" customHeight="1" x14ac:dyDescent="0.3">
      <c r="B1" s="88" t="s">
        <v>1</v>
      </c>
      <c r="C1" s="88"/>
      <c r="D1" s="88"/>
      <c r="E1" s="88"/>
      <c r="F1" s="88"/>
      <c r="G1" s="88"/>
      <c r="H1" s="88"/>
      <c r="I1" s="88"/>
      <c r="J1" s="88"/>
      <c r="K1" s="88"/>
      <c r="L1" s="88"/>
      <c r="M1" s="88"/>
      <c r="N1" s="29"/>
      <c r="O1" s="29"/>
    </row>
    <row r="2" spans="2:15" ht="23.4" customHeight="1" x14ac:dyDescent="0.3">
      <c r="B2" s="2"/>
      <c r="C2" s="1" t="s">
        <v>34</v>
      </c>
      <c r="D2" s="52" t="s">
        <v>32</v>
      </c>
      <c r="E2" s="1" t="s">
        <v>33</v>
      </c>
      <c r="F2" s="92"/>
      <c r="G2" s="93"/>
      <c r="H2" s="94"/>
      <c r="I2" s="1" t="s">
        <v>30</v>
      </c>
      <c r="J2" s="51">
        <v>45726</v>
      </c>
      <c r="K2" s="1"/>
      <c r="L2" s="4"/>
      <c r="M2" s="2"/>
      <c r="N2" s="47"/>
      <c r="O2" s="47"/>
    </row>
    <row r="3" spans="2:15" ht="15" thickBot="1" x14ac:dyDescent="0.35">
      <c r="B3" s="2"/>
      <c r="C3" s="1"/>
      <c r="D3" s="1"/>
      <c r="E3" s="1"/>
      <c r="F3" s="2"/>
      <c r="G3" s="2"/>
      <c r="H3" s="2"/>
      <c r="I3" s="2"/>
      <c r="J3" s="2"/>
      <c r="K3" s="2"/>
      <c r="L3" s="2"/>
      <c r="M3" s="2"/>
      <c r="N3" s="47"/>
      <c r="O3" s="47"/>
    </row>
    <row r="4" spans="2:15" ht="29.4" customHeight="1" thickBot="1" x14ac:dyDescent="0.35">
      <c r="B4" s="2"/>
      <c r="C4" s="1"/>
      <c r="D4" s="1"/>
      <c r="E4" s="1"/>
      <c r="F4" s="89" t="s">
        <v>9</v>
      </c>
      <c r="G4" s="90"/>
      <c r="H4" s="91"/>
      <c r="I4" s="2"/>
      <c r="J4" s="2"/>
      <c r="K4" s="89" t="s">
        <v>10</v>
      </c>
      <c r="L4" s="90"/>
      <c r="M4" s="91"/>
    </row>
    <row r="5" spans="2:15" ht="29.4" thickBot="1" x14ac:dyDescent="0.35">
      <c r="B5" s="53" t="s">
        <v>0</v>
      </c>
      <c r="C5" s="78" t="s">
        <v>11</v>
      </c>
      <c r="D5" s="54" t="s">
        <v>12</v>
      </c>
      <c r="E5" s="54" t="s">
        <v>23</v>
      </c>
      <c r="F5" s="77" t="s">
        <v>3</v>
      </c>
      <c r="G5" s="77" t="s">
        <v>2</v>
      </c>
      <c r="H5" s="77" t="s">
        <v>4</v>
      </c>
      <c r="I5" s="78" t="s">
        <v>5</v>
      </c>
      <c r="J5" s="54" t="s">
        <v>24</v>
      </c>
      <c r="K5" s="55" t="s">
        <v>6</v>
      </c>
      <c r="L5" s="55" t="s">
        <v>7</v>
      </c>
      <c r="M5" s="56" t="s">
        <v>8</v>
      </c>
    </row>
    <row r="6" spans="2:15" ht="48" x14ac:dyDescent="0.3">
      <c r="B6" s="64">
        <f>IF(ISBLANK(C6),"",1)</f>
        <v>1</v>
      </c>
      <c r="C6" s="65" t="s">
        <v>35</v>
      </c>
      <c r="D6" s="66" t="s">
        <v>29</v>
      </c>
      <c r="E6" s="67" t="s">
        <v>31</v>
      </c>
      <c r="F6" s="68" t="s">
        <v>22</v>
      </c>
      <c r="G6" s="68" t="s">
        <v>14</v>
      </c>
      <c r="H6" s="68" t="str">
        <f>IFERROR(INDEX('Risk Matrix'!D$6:H$10,MATCH('Risk Assessment Two Pages'!F6,'Risk Matrix'!C$6:C$10,0),MATCH('Risk Assessment Two Pages'!G6,'Risk Matrix'!D$5:H$5,0)),"")</f>
        <v>Severe</v>
      </c>
      <c r="I6" s="67"/>
      <c r="J6" s="67"/>
      <c r="K6" s="68" t="s">
        <v>22</v>
      </c>
      <c r="L6" s="68" t="s">
        <v>21</v>
      </c>
      <c r="M6" s="69" t="str">
        <f>IFERROR(INDEX('Risk Matrix'!D$6:H$10,MATCH('Risk Assessment Two Pages'!K6,'Risk Matrix'!C$6:C$10,0),MATCH('Risk Assessment Two Pages'!L6,'Risk Matrix'!D$5:H$5,0)),"")</f>
        <v>Moderate</v>
      </c>
    </row>
    <row r="7" spans="2:15" ht="48" x14ac:dyDescent="0.3">
      <c r="B7" s="3">
        <f>IF(C7="","",MAX(B$6:B6)+1)</f>
        <v>2</v>
      </c>
      <c r="C7" s="48" t="s">
        <v>42</v>
      </c>
      <c r="D7" s="49" t="s">
        <v>29</v>
      </c>
      <c r="E7" s="50"/>
      <c r="F7" s="26" t="s">
        <v>13</v>
      </c>
      <c r="G7" s="26" t="s">
        <v>15</v>
      </c>
      <c r="H7" s="25" t="str">
        <f>IFERROR(INDEX('Risk Matrix'!D$6:H$10,MATCH('Risk Assessment Two Pages'!F7,'Risk Matrix'!C$6:C$10,0),MATCH('Risk Assessment Two Pages'!G7,'Risk Matrix'!D$5:H$5,0)),"")</f>
        <v>Severe</v>
      </c>
      <c r="I7" s="50"/>
      <c r="J7" s="50"/>
      <c r="K7" s="26" t="s">
        <v>13</v>
      </c>
      <c r="L7" s="26" t="s">
        <v>14</v>
      </c>
      <c r="M7" s="34" t="str">
        <f>IFERROR(INDEX('Risk Matrix'!D$6:H$10,MATCH('Risk Assessment Two Pages'!K7,'Risk Matrix'!C$6:C$10,0),MATCH('Risk Assessment Two Pages'!L7,'Risk Matrix'!D$5:H$5,0)),"")</f>
        <v>Moderate</v>
      </c>
    </row>
    <row r="8" spans="2:15" ht="45" customHeight="1" x14ac:dyDescent="0.3">
      <c r="B8" s="3" t="str">
        <f>IF(C8="","",MAX(B$6:B7)+1)</f>
        <v/>
      </c>
      <c r="C8" s="48"/>
      <c r="D8" s="49" t="s">
        <v>29</v>
      </c>
      <c r="E8" s="50"/>
      <c r="F8" s="26" t="s">
        <v>21</v>
      </c>
      <c r="G8" s="26" t="s">
        <v>15</v>
      </c>
      <c r="H8" s="25" t="str">
        <f>IFERROR(INDEX('Risk Matrix'!D$6:H$10,MATCH('Risk Assessment Two Pages'!F8,'Risk Matrix'!C$6:C$10,0),MATCH('Risk Assessment Two Pages'!G8,'Risk Matrix'!D$5:H$5,0)),"")</f>
        <v>Moderate</v>
      </c>
      <c r="I8" s="50"/>
      <c r="J8" s="50"/>
      <c r="K8" s="26" t="s">
        <v>14</v>
      </c>
      <c r="L8" s="26" t="s">
        <v>14</v>
      </c>
      <c r="M8" s="34" t="str">
        <f>IFERROR(INDEX('Risk Matrix'!D$6:H$10,MATCH('Risk Assessment Two Pages'!K8,'Risk Matrix'!C$6:C$10,0),MATCH('Risk Assessment Two Pages'!L8,'Risk Matrix'!D$5:H$5,0)),"")</f>
        <v>Moderate</v>
      </c>
    </row>
    <row r="9" spans="2:15" ht="48" x14ac:dyDescent="0.3">
      <c r="B9" s="3" t="str">
        <f>IF(C9="","",MAX(B$6:B8)+1)</f>
        <v/>
      </c>
      <c r="C9" s="48"/>
      <c r="D9" s="49" t="s">
        <v>29</v>
      </c>
      <c r="E9" s="50"/>
      <c r="F9" s="26" t="s">
        <v>13</v>
      </c>
      <c r="G9" s="26" t="s">
        <v>14</v>
      </c>
      <c r="H9" s="25" t="str">
        <f>IFERROR(INDEX('Risk Matrix'!D$6:H$10,MATCH('Risk Assessment Two Pages'!F9,'Risk Matrix'!C$6:C$10,0),MATCH('Risk Assessment Two Pages'!G9,'Risk Matrix'!D$5:H$5,0)),"")</f>
        <v>Moderate</v>
      </c>
      <c r="I9" s="50"/>
      <c r="J9" s="50"/>
      <c r="K9" s="26" t="s">
        <v>13</v>
      </c>
      <c r="L9" s="26" t="s">
        <v>13</v>
      </c>
      <c r="M9" s="34" t="str">
        <f>IFERROR(INDEX('Risk Matrix'!D$6:H$10,MATCH('Risk Assessment Two Pages'!K9,'Risk Matrix'!C$6:C$10,0),MATCH('Risk Assessment Two Pages'!L9,'Risk Matrix'!D$5:H$5,0)),"")</f>
        <v>Sustainable</v>
      </c>
    </row>
    <row r="10" spans="2:15" ht="48" x14ac:dyDescent="0.3">
      <c r="B10" s="3" t="str">
        <f>IF(C10="","",MAX(B$6:B9)+1)</f>
        <v/>
      </c>
      <c r="C10" s="48"/>
      <c r="D10" s="49" t="s">
        <v>29</v>
      </c>
      <c r="E10" s="50"/>
      <c r="F10" s="26" t="s">
        <v>15</v>
      </c>
      <c r="G10" s="26" t="s">
        <v>15</v>
      </c>
      <c r="H10" s="25" t="str">
        <f>IFERROR(INDEX('Risk Matrix'!D$6:H$10,MATCH('Risk Assessment Two Pages'!F10,'Risk Matrix'!C$6:C$10,0),MATCH('Risk Assessment Two Pages'!G10,'Risk Matrix'!D$5:H$5,0)),"")</f>
        <v>Critical</v>
      </c>
      <c r="I10" s="50"/>
      <c r="J10" s="50"/>
      <c r="K10" s="26" t="s">
        <v>13</v>
      </c>
      <c r="L10" s="26" t="s">
        <v>14</v>
      </c>
      <c r="M10" s="34" t="str">
        <f>IFERROR(INDEX('Risk Matrix'!D$6:H$10,MATCH('Risk Assessment Two Pages'!K10,'Risk Matrix'!C$6:C$10,0),MATCH('Risk Assessment Two Pages'!L10,'Risk Matrix'!D$5:H$5,0)),"")</f>
        <v>Moderate</v>
      </c>
    </row>
    <row r="11" spans="2:15" ht="48" x14ac:dyDescent="0.3">
      <c r="B11" s="3" t="str">
        <f>IF(C11="","",MAX(B$6:B10)+1)</f>
        <v/>
      </c>
      <c r="C11" s="48"/>
      <c r="D11" s="49" t="s">
        <v>29</v>
      </c>
      <c r="E11" s="50"/>
      <c r="F11" s="26" t="s">
        <v>15</v>
      </c>
      <c r="G11" s="26" t="s">
        <v>21</v>
      </c>
      <c r="H11" s="25" t="str">
        <f>IFERROR(INDEX('Risk Matrix'!D$6:H$10,MATCH('Risk Assessment Two Pages'!F11,'Risk Matrix'!C$6:C$10,0),MATCH('Risk Assessment Two Pages'!G11,'Risk Matrix'!D$5:H$5,0)),"")</f>
        <v>Sustainable</v>
      </c>
      <c r="I11" s="50"/>
      <c r="J11" s="50"/>
      <c r="K11" s="26" t="s">
        <v>14</v>
      </c>
      <c r="L11" s="26" t="s">
        <v>21</v>
      </c>
      <c r="M11" s="34" t="str">
        <f>IFERROR(INDEX('Risk Matrix'!D$6:H$10,MATCH('Risk Assessment Two Pages'!K11,'Risk Matrix'!C$6:C$10,0),MATCH('Risk Assessment Two Pages'!L11,'Risk Matrix'!D$5:H$5,0)),"")</f>
        <v>Sustainable</v>
      </c>
    </row>
    <row r="12" spans="2:15" ht="48" x14ac:dyDescent="0.3">
      <c r="B12" s="3" t="str">
        <f>IF(C12="","",MAX(B$6:B11)+1)</f>
        <v/>
      </c>
      <c r="C12" s="48"/>
      <c r="D12" s="49" t="s">
        <v>29</v>
      </c>
      <c r="E12" s="50"/>
      <c r="F12" s="26" t="s">
        <v>14</v>
      </c>
      <c r="G12" s="26" t="s">
        <v>13</v>
      </c>
      <c r="H12" s="25" t="str">
        <f>IFERROR(INDEX('Risk Matrix'!D$6:H$10,MATCH('Risk Assessment Two Pages'!F12,'Risk Matrix'!C$6:C$10,0),MATCH('Risk Assessment Two Pages'!G12,'Risk Matrix'!D$5:H$5,0)),"")</f>
        <v>Moderate</v>
      </c>
      <c r="I12" s="50"/>
      <c r="J12" s="50"/>
      <c r="K12" s="26" t="s">
        <v>13</v>
      </c>
      <c r="L12" s="26" t="s">
        <v>13</v>
      </c>
      <c r="M12" s="34" t="str">
        <f>IFERROR(INDEX('Risk Matrix'!D$6:H$10,MATCH('Risk Assessment Two Pages'!K12,'Risk Matrix'!C$6:C$10,0),MATCH('Risk Assessment Two Pages'!L12,'Risk Matrix'!D$5:H$5,0)),"")</f>
        <v>Sustainable</v>
      </c>
    </row>
    <row r="13" spans="2:15" ht="48" x14ac:dyDescent="0.3">
      <c r="B13" s="3" t="str">
        <f>IF(C13="","",MAX(B$6:B12)+1)</f>
        <v/>
      </c>
      <c r="C13" s="48"/>
      <c r="D13" s="49" t="s">
        <v>29</v>
      </c>
      <c r="E13" s="50"/>
      <c r="F13" s="26" t="s">
        <v>13</v>
      </c>
      <c r="G13" s="26" t="s">
        <v>15</v>
      </c>
      <c r="H13" s="25" t="str">
        <f>IFERROR(INDEX('Risk Matrix'!D$6:H$10,MATCH('Risk Assessment Two Pages'!F13,'Risk Matrix'!C$6:C$10,0),MATCH('Risk Assessment Two Pages'!G13,'Risk Matrix'!D$5:H$5,0)),"")</f>
        <v>Severe</v>
      </c>
      <c r="I13" s="50"/>
      <c r="J13" s="50"/>
      <c r="K13" s="26" t="s">
        <v>13</v>
      </c>
      <c r="L13" s="26" t="s">
        <v>13</v>
      </c>
      <c r="M13" s="34" t="str">
        <f>IFERROR(INDEX('Risk Matrix'!D$6:H$10,MATCH('Risk Assessment Two Pages'!K13,'Risk Matrix'!C$6:C$10,0),MATCH('Risk Assessment Two Pages'!L13,'Risk Matrix'!D$5:H$5,0)),"")</f>
        <v>Sustainable</v>
      </c>
    </row>
    <row r="14" spans="2:15" ht="48" x14ac:dyDescent="0.3">
      <c r="B14" s="3" t="str">
        <f>IF(C14="","",MAX(B$6:B13)+1)</f>
        <v/>
      </c>
      <c r="C14" s="48"/>
      <c r="D14" s="49" t="s">
        <v>29</v>
      </c>
      <c r="E14" s="50"/>
      <c r="F14" s="26" t="s">
        <v>14</v>
      </c>
      <c r="G14" s="26" t="s">
        <v>22</v>
      </c>
      <c r="H14" s="25" t="str">
        <f>IFERROR(INDEX('Risk Matrix'!D$6:H$10,MATCH('Risk Assessment Two Pages'!F14,'Risk Matrix'!C$6:C$10,0),MATCH('Risk Assessment Two Pages'!G14,'Risk Matrix'!D$5:H$5,0)),"")</f>
        <v>Critical</v>
      </c>
      <c r="I14" s="50"/>
      <c r="J14" s="50"/>
      <c r="K14" s="26" t="s">
        <v>21</v>
      </c>
      <c r="L14" s="26" t="s">
        <v>14</v>
      </c>
      <c r="M14" s="34" t="str">
        <f>IFERROR(INDEX('Risk Matrix'!D$6:H$10,MATCH('Risk Assessment Two Pages'!K14,'Risk Matrix'!C$6:C$10,0),MATCH('Risk Assessment Two Pages'!L14,'Risk Matrix'!D$5:H$5,0)),"")</f>
        <v>Sustainable</v>
      </c>
    </row>
    <row r="15" spans="2:15" ht="48" x14ac:dyDescent="0.3">
      <c r="B15" s="3" t="str">
        <f>IF(C15="","",MAX(B$6:B14)+1)</f>
        <v/>
      </c>
      <c r="C15" s="48"/>
      <c r="D15" s="49" t="s">
        <v>29</v>
      </c>
      <c r="E15" s="50"/>
      <c r="F15" s="26" t="s">
        <v>14</v>
      </c>
      <c r="G15" s="26" t="s">
        <v>15</v>
      </c>
      <c r="H15" s="25" t="str">
        <f>IFERROR(INDEX('Risk Matrix'!D$6:H$10,MATCH('Risk Assessment Two Pages'!F15,'Risk Matrix'!C$6:C$10,0),MATCH('Risk Assessment Two Pages'!G15,'Risk Matrix'!D$5:H$5,0)),"")</f>
        <v>Severe</v>
      </c>
      <c r="I15" s="50"/>
      <c r="J15" s="50"/>
      <c r="K15" s="26" t="s">
        <v>13</v>
      </c>
      <c r="L15" s="26" t="s">
        <v>13</v>
      </c>
      <c r="M15" s="34" t="str">
        <f>IFERROR(INDEX('Risk Matrix'!D$6:H$10,MATCH('Risk Assessment Two Pages'!K15,'Risk Matrix'!C$6:C$10,0),MATCH('Risk Assessment Two Pages'!L15,'Risk Matrix'!D$5:H$5,0)),"")</f>
        <v>Sustainable</v>
      </c>
    </row>
    <row r="16" spans="2:15" ht="48" x14ac:dyDescent="0.3">
      <c r="B16" s="3" t="str">
        <f>IF(C16="","",MAX(B$6:B15)+1)</f>
        <v/>
      </c>
      <c r="C16" s="48"/>
      <c r="D16" s="49" t="s">
        <v>29</v>
      </c>
      <c r="E16" s="50"/>
      <c r="F16" s="26" t="s">
        <v>14</v>
      </c>
      <c r="G16" s="26" t="s">
        <v>21</v>
      </c>
      <c r="H16" s="25" t="str">
        <f>IFERROR(INDEX('Risk Matrix'!D$6:H$10,MATCH('Risk Assessment Two Pages'!F16,'Risk Matrix'!C$6:C$10,0),MATCH('Risk Assessment Two Pages'!G16,'Risk Matrix'!D$5:H$5,0)),"")</f>
        <v>Sustainable</v>
      </c>
      <c r="I16" s="50"/>
      <c r="J16" s="50"/>
      <c r="K16" s="26" t="s">
        <v>13</v>
      </c>
      <c r="L16" s="26" t="s">
        <v>21</v>
      </c>
      <c r="M16" s="34" t="str">
        <f>IFERROR(INDEX('Risk Matrix'!D$6:H$10,MATCH('Risk Assessment Two Pages'!K16,'Risk Matrix'!C$6:C$10,0),MATCH('Risk Assessment Two Pages'!L16,'Risk Matrix'!D$5:H$5,0)),"")</f>
        <v>Sustainable</v>
      </c>
    </row>
    <row r="17" spans="2:13" ht="48" x14ac:dyDescent="0.3">
      <c r="B17" s="3" t="str">
        <f>IF(C17="","",MAX(B$6:B16)+1)</f>
        <v/>
      </c>
      <c r="C17" s="48"/>
      <c r="D17" s="49" t="s">
        <v>29</v>
      </c>
      <c r="E17" s="50"/>
      <c r="F17" s="26"/>
      <c r="G17" s="26"/>
      <c r="H17" s="25" t="str">
        <f>IFERROR(INDEX('Risk Matrix'!D$6:H$10,MATCH('Risk Assessment Two Pages'!F17,'Risk Matrix'!C$6:C$10,0),MATCH('Risk Assessment Two Pages'!G17,'Risk Matrix'!D$5:H$5,0)),"")</f>
        <v/>
      </c>
      <c r="I17" s="50"/>
      <c r="J17" s="50"/>
      <c r="K17" s="26"/>
      <c r="L17" s="26"/>
      <c r="M17" s="34" t="str">
        <f>IFERROR(INDEX('Risk Matrix'!D$6:H$10,MATCH('Risk Assessment Two Pages'!K17,'Risk Matrix'!C$6:C$10,0),MATCH('Risk Assessment Two Pages'!L17,'Risk Matrix'!D$5:H$5,0)),"")</f>
        <v/>
      </c>
    </row>
    <row r="18" spans="2:13" ht="48" x14ac:dyDescent="0.3">
      <c r="B18" s="3" t="str">
        <f>IF(C18="","",MAX(B$6:B17)+1)</f>
        <v/>
      </c>
      <c r="C18" s="48"/>
      <c r="D18" s="49" t="s">
        <v>29</v>
      </c>
      <c r="E18" s="50"/>
      <c r="F18" s="26"/>
      <c r="G18" s="26"/>
      <c r="H18" s="25" t="str">
        <f>IFERROR(INDEX('Risk Matrix'!D$6:H$10,MATCH('Risk Assessment Two Pages'!F18,'Risk Matrix'!C$6:C$10,0),MATCH('Risk Assessment Two Pages'!G18,'Risk Matrix'!D$5:H$5,0)),"")</f>
        <v/>
      </c>
      <c r="I18" s="50"/>
      <c r="J18" s="50"/>
      <c r="K18" s="26"/>
      <c r="L18" s="26"/>
      <c r="M18" s="34" t="str">
        <f>IFERROR(INDEX('Risk Matrix'!D$6:H$10,MATCH('Risk Assessment Two Pages'!K18,'Risk Matrix'!C$6:C$10,0),MATCH('Risk Assessment Two Pages'!L18,'Risk Matrix'!D$5:H$5,0)),"")</f>
        <v/>
      </c>
    </row>
    <row r="19" spans="2:13" ht="48" customHeight="1" x14ac:dyDescent="0.3">
      <c r="B19" s="3" t="str">
        <f>IF(C19="","",MAX(B$6:B18)+1)</f>
        <v/>
      </c>
      <c r="C19" s="48"/>
      <c r="D19" s="49" t="s">
        <v>29</v>
      </c>
      <c r="E19" s="50"/>
      <c r="F19" s="26"/>
      <c r="G19" s="26"/>
      <c r="H19" s="25" t="str">
        <f>IFERROR(INDEX('Risk Matrix'!D$6:H$10,MATCH('Risk Assessment Two Pages'!F19,'Risk Matrix'!C$6:C$10,0),MATCH('Risk Assessment Two Pages'!G19,'Risk Matrix'!D$5:H$5,0)),"")</f>
        <v/>
      </c>
      <c r="I19" s="50"/>
      <c r="J19" s="50"/>
      <c r="K19" s="26"/>
      <c r="L19" s="26"/>
      <c r="M19" s="34" t="str">
        <f>IFERROR(INDEX('Risk Matrix'!D$6:H$10,MATCH('Risk Assessment Two Pages'!K19,'Risk Matrix'!C$6:C$10,0),MATCH('Risk Assessment Two Pages'!L19,'Risk Matrix'!D$5:H$5,0)),"")</f>
        <v/>
      </c>
    </row>
    <row r="20" spans="2:13" ht="48" customHeight="1" x14ac:dyDescent="0.3">
      <c r="B20" s="3" t="str">
        <f>IF(C20="","",MAX(B$6:B19)+1)</f>
        <v/>
      </c>
      <c r="C20" s="48"/>
      <c r="D20" s="49" t="s">
        <v>29</v>
      </c>
      <c r="E20" s="50"/>
      <c r="F20" s="26"/>
      <c r="G20" s="26"/>
      <c r="H20" s="25" t="str">
        <f>IFERROR(INDEX('Risk Matrix'!D$6:H$10,MATCH('Risk Assessment Two Pages'!F20,'Risk Matrix'!C$6:C$10,0),MATCH('Risk Assessment Two Pages'!G20,'Risk Matrix'!D$5:H$5,0)),"")</f>
        <v/>
      </c>
      <c r="I20" s="50"/>
      <c r="J20" s="50"/>
      <c r="K20" s="26"/>
      <c r="L20" s="26"/>
      <c r="M20" s="34" t="str">
        <f>IFERROR(INDEX('Risk Matrix'!D$6:H$10,MATCH('Risk Assessment Two Pages'!K20,'Risk Matrix'!C$6:C$10,0),MATCH('Risk Assessment Two Pages'!L20,'Risk Matrix'!D$5:H$5,0)),"")</f>
        <v/>
      </c>
    </row>
    <row r="21" spans="2:13" ht="48" customHeight="1" x14ac:dyDescent="0.3">
      <c r="B21" s="3" t="str">
        <f>IF(C21="","",MAX(B$6:B20)+1)</f>
        <v/>
      </c>
      <c r="C21" s="48"/>
      <c r="D21" s="49" t="s">
        <v>29</v>
      </c>
      <c r="E21" s="50"/>
      <c r="F21" s="26"/>
      <c r="G21" s="26"/>
      <c r="H21" s="25" t="str">
        <f>IFERROR(INDEX('Risk Matrix'!D$6:H$10,MATCH('Risk Assessment Two Pages'!F21,'Risk Matrix'!C$6:C$10,0),MATCH('Risk Assessment Two Pages'!G21,'Risk Matrix'!D$5:H$5,0)),"")</f>
        <v/>
      </c>
      <c r="I21" s="50"/>
      <c r="J21" s="50"/>
      <c r="K21" s="26"/>
      <c r="L21" s="26"/>
      <c r="M21" s="34" t="str">
        <f>IFERROR(INDEX('Risk Matrix'!D$6:H$10,MATCH('Risk Assessment Two Pages'!K21,'Risk Matrix'!C$6:C$10,0),MATCH('Risk Assessment Two Pages'!L21,'Risk Matrix'!D$5:H$5,0)),"")</f>
        <v/>
      </c>
    </row>
    <row r="22" spans="2:13" ht="48" customHeight="1" x14ac:dyDescent="0.3">
      <c r="B22" s="3" t="str">
        <f>IF(C22="","",MAX(B$6:B21)+1)</f>
        <v/>
      </c>
      <c r="C22" s="48"/>
      <c r="D22" s="49" t="s">
        <v>29</v>
      </c>
      <c r="E22" s="50"/>
      <c r="F22" s="26"/>
      <c r="G22" s="26"/>
      <c r="H22" s="25" t="str">
        <f>IFERROR(INDEX('Risk Matrix'!D$6:H$10,MATCH('Risk Assessment Two Pages'!F22,'Risk Matrix'!C$6:C$10,0),MATCH('Risk Assessment Two Pages'!G22,'Risk Matrix'!D$5:H$5,0)),"")</f>
        <v/>
      </c>
      <c r="I22" s="50"/>
      <c r="J22" s="50"/>
      <c r="K22" s="26"/>
      <c r="L22" s="26"/>
      <c r="M22" s="34" t="str">
        <f>IFERROR(INDEX('Risk Matrix'!D$6:H$10,MATCH('Risk Assessment Two Pages'!K22,'Risk Matrix'!C$6:C$10,0),MATCH('Risk Assessment Two Pages'!L22,'Risk Matrix'!D$5:H$5,0)),"")</f>
        <v/>
      </c>
    </row>
    <row r="23" spans="2:13" ht="48" customHeight="1" x14ac:dyDescent="0.3">
      <c r="B23" s="3" t="str">
        <f>IF(C23="","",MAX(B$6:B22)+1)</f>
        <v/>
      </c>
      <c r="C23" s="48"/>
      <c r="D23" s="49" t="s">
        <v>29</v>
      </c>
      <c r="E23" s="50"/>
      <c r="F23" s="26"/>
      <c r="G23" s="26"/>
      <c r="H23" s="25" t="str">
        <f>IFERROR(INDEX('Risk Matrix'!D$6:H$10,MATCH('Risk Assessment Two Pages'!F23,'Risk Matrix'!C$6:C$10,0),MATCH('Risk Assessment Two Pages'!G23,'Risk Matrix'!D$5:H$5,0)),"")</f>
        <v/>
      </c>
      <c r="I23" s="50"/>
      <c r="J23" s="50"/>
      <c r="K23" s="26"/>
      <c r="L23" s="26"/>
      <c r="M23" s="34" t="str">
        <f>IFERROR(INDEX('Risk Matrix'!D$6:H$10,MATCH('Risk Assessment Two Pages'!K23,'Risk Matrix'!C$6:C$10,0),MATCH('Risk Assessment Two Pages'!L23,'Risk Matrix'!D$5:H$5,0)),"")</f>
        <v/>
      </c>
    </row>
    <row r="24" spans="2:13" ht="48" customHeight="1" x14ac:dyDescent="0.3">
      <c r="B24" s="3" t="str">
        <f>IF(C24="","",MAX(B$6:B23)+1)</f>
        <v/>
      </c>
      <c r="C24" s="48"/>
      <c r="D24" s="49" t="s">
        <v>29</v>
      </c>
      <c r="E24" s="50"/>
      <c r="F24" s="26"/>
      <c r="G24" s="26"/>
      <c r="H24" s="25" t="str">
        <f>IFERROR(INDEX('Risk Matrix'!D$6:H$10,MATCH('Risk Assessment Two Pages'!F24,'Risk Matrix'!C$6:C$10,0),MATCH('Risk Assessment Two Pages'!G24,'Risk Matrix'!D$5:H$5,0)),"")</f>
        <v/>
      </c>
      <c r="I24" s="50"/>
      <c r="J24" s="50"/>
      <c r="K24" s="26"/>
      <c r="L24" s="26"/>
      <c r="M24" s="34" t="str">
        <f>IFERROR(INDEX('Risk Matrix'!D$6:H$10,MATCH('Risk Assessment Two Pages'!K24,'Risk Matrix'!C$6:C$10,0),MATCH('Risk Assessment Two Pages'!L24,'Risk Matrix'!D$5:H$5,0)),"")</f>
        <v/>
      </c>
    </row>
    <row r="25" spans="2:13" ht="48" customHeight="1" x14ac:dyDescent="0.3">
      <c r="B25" s="3" t="str">
        <f>IF(C25="","",MAX(B$6:B24)+1)</f>
        <v/>
      </c>
      <c r="C25" s="48"/>
      <c r="D25" s="49" t="s">
        <v>29</v>
      </c>
      <c r="E25" s="50"/>
      <c r="F25" s="26"/>
      <c r="G25" s="26"/>
      <c r="H25" s="25" t="str">
        <f>IFERROR(INDEX('Risk Matrix'!D$6:H$10,MATCH('Risk Assessment Two Pages'!F25,'Risk Matrix'!C$6:C$10,0),MATCH('Risk Assessment Two Pages'!G25,'Risk Matrix'!D$5:H$5,0)),"")</f>
        <v/>
      </c>
      <c r="I25" s="50"/>
      <c r="J25" s="50"/>
      <c r="K25" s="26"/>
      <c r="L25" s="26"/>
      <c r="M25" s="34" t="str">
        <f>IFERROR(INDEX('Risk Matrix'!D$6:H$10,MATCH('Risk Assessment Two Pages'!K25,'Risk Matrix'!C$6:C$10,0),MATCH('Risk Assessment Two Pages'!L25,'Risk Matrix'!D$5:H$5,0)),"")</f>
        <v/>
      </c>
    </row>
    <row r="26" spans="2:13" ht="48" customHeight="1" x14ac:dyDescent="0.3">
      <c r="B26" s="3" t="str">
        <f>IF(C26="","",MAX(B$6:B25)+1)</f>
        <v/>
      </c>
      <c r="C26" s="48"/>
      <c r="D26" s="49" t="s">
        <v>29</v>
      </c>
      <c r="E26" s="50"/>
      <c r="F26" s="26"/>
      <c r="G26" s="26"/>
      <c r="H26" s="25" t="str">
        <f>IFERROR(INDEX('Risk Matrix'!D$6:H$10,MATCH('Risk Assessment Two Pages'!F26,'Risk Matrix'!C$6:C$10,0),MATCH('Risk Assessment Two Pages'!G26,'Risk Matrix'!D$5:H$5,0)),"")</f>
        <v/>
      </c>
      <c r="I26" s="50"/>
      <c r="J26" s="50"/>
      <c r="K26" s="26"/>
      <c r="L26" s="26"/>
      <c r="M26" s="34" t="str">
        <f>IFERROR(INDEX('Risk Matrix'!D$6:H$10,MATCH('Risk Assessment Two Pages'!K26,'Risk Matrix'!C$6:C$10,0),MATCH('Risk Assessment Two Pages'!L26,'Risk Matrix'!D$5:H$5,0)),"")</f>
        <v/>
      </c>
    </row>
    <row r="27" spans="2:13" ht="48" customHeight="1" x14ac:dyDescent="0.3">
      <c r="B27" s="3" t="str">
        <f>IF(C27="","",MAX(B$6:B26)+1)</f>
        <v/>
      </c>
      <c r="C27" s="48"/>
      <c r="D27" s="49" t="s">
        <v>29</v>
      </c>
      <c r="E27" s="50"/>
      <c r="F27" s="26"/>
      <c r="G27" s="26"/>
      <c r="H27" s="25" t="str">
        <f>IFERROR(INDEX('Risk Matrix'!D$6:H$10,MATCH('Risk Assessment Two Pages'!F27,'Risk Matrix'!C$6:C$10,0),MATCH('Risk Assessment Two Pages'!G27,'Risk Matrix'!D$5:H$5,0)),"")</f>
        <v/>
      </c>
      <c r="I27" s="50"/>
      <c r="J27" s="50"/>
      <c r="K27" s="26"/>
      <c r="L27" s="26"/>
      <c r="M27" s="34" t="str">
        <f>IFERROR(INDEX('Risk Matrix'!D$6:H$10,MATCH('Risk Assessment Two Pages'!K27,'Risk Matrix'!C$6:C$10,0),MATCH('Risk Assessment Two Pages'!L27,'Risk Matrix'!D$5:H$5,0)),"")</f>
        <v/>
      </c>
    </row>
    <row r="28" spans="2:13" ht="48" customHeight="1" x14ac:dyDescent="0.3">
      <c r="B28" s="3" t="str">
        <f>IF(C28="","",MAX(B$6:B27)+1)</f>
        <v/>
      </c>
      <c r="C28" s="48"/>
      <c r="D28" s="49" t="s">
        <v>29</v>
      </c>
      <c r="E28" s="50"/>
      <c r="F28" s="26"/>
      <c r="G28" s="26"/>
      <c r="H28" s="25" t="str">
        <f>IFERROR(INDEX('Risk Matrix'!D$6:H$10,MATCH('Risk Assessment Two Pages'!F28,'Risk Matrix'!C$6:C$10,0),MATCH('Risk Assessment Two Pages'!G28,'Risk Matrix'!D$5:H$5,0)),"")</f>
        <v/>
      </c>
      <c r="I28" s="50"/>
      <c r="J28" s="50"/>
      <c r="K28" s="26"/>
      <c r="L28" s="26"/>
      <c r="M28" s="34" t="str">
        <f>IFERROR(INDEX('Risk Matrix'!D$6:H$10,MATCH('Risk Assessment Two Pages'!K28,'Risk Matrix'!C$6:C$10,0),MATCH('Risk Assessment Two Pages'!L28,'Risk Matrix'!D$5:H$5,0)),"")</f>
        <v/>
      </c>
    </row>
    <row r="29" spans="2:13" ht="48" customHeight="1" x14ac:dyDescent="0.3">
      <c r="B29" s="3" t="str">
        <f>IF(C29="","",MAX(B$6:B28)+1)</f>
        <v/>
      </c>
      <c r="C29" s="48"/>
      <c r="D29" s="49" t="s">
        <v>29</v>
      </c>
      <c r="E29" s="50"/>
      <c r="F29" s="26"/>
      <c r="G29" s="26"/>
      <c r="H29" s="25" t="str">
        <f>IFERROR(INDEX('Risk Matrix'!D$6:H$10,MATCH('Risk Assessment Two Pages'!F29,'Risk Matrix'!C$6:C$10,0),MATCH('Risk Assessment Two Pages'!G29,'Risk Matrix'!D$5:H$5,0)),"")</f>
        <v/>
      </c>
      <c r="I29" s="50"/>
      <c r="J29" s="50"/>
      <c r="K29" s="26"/>
      <c r="L29" s="26"/>
      <c r="M29" s="34" t="str">
        <f>IFERROR(INDEX('Risk Matrix'!D$6:H$10,MATCH('Risk Assessment Two Pages'!K29,'Risk Matrix'!C$6:C$10,0),MATCH('Risk Assessment Two Pages'!L29,'Risk Matrix'!D$5:H$5,0)),"")</f>
        <v/>
      </c>
    </row>
    <row r="30" spans="2:13" ht="48" customHeight="1" x14ac:dyDescent="0.3">
      <c r="B30" s="3" t="str">
        <f>IF(C30="","",MAX(B$6:B29)+1)</f>
        <v/>
      </c>
      <c r="C30" s="48"/>
      <c r="D30" s="49" t="s">
        <v>29</v>
      </c>
      <c r="E30" s="50"/>
      <c r="F30" s="26"/>
      <c r="G30" s="26"/>
      <c r="H30" s="25" t="str">
        <f>IFERROR(INDEX('Risk Matrix'!D$6:H$10,MATCH('Risk Assessment Two Pages'!F30,'Risk Matrix'!C$6:C$10,0),MATCH('Risk Assessment Two Pages'!G30,'Risk Matrix'!D$5:H$5,0)),"")</f>
        <v/>
      </c>
      <c r="I30" s="50"/>
      <c r="J30" s="50"/>
      <c r="K30" s="26"/>
      <c r="L30" s="26"/>
      <c r="M30" s="34" t="str">
        <f>IFERROR(INDEX('Risk Matrix'!D$6:H$10,MATCH('Risk Assessment Two Pages'!K30,'Risk Matrix'!C$6:C$10,0),MATCH('Risk Assessment Two Pages'!L30,'Risk Matrix'!D$5:H$5,0)),"")</f>
        <v/>
      </c>
    </row>
    <row r="31" spans="2:13" ht="48" customHeight="1" x14ac:dyDescent="0.3">
      <c r="B31" s="3" t="str">
        <f>IF(C31="","",MAX(B$6:B30)+1)</f>
        <v/>
      </c>
      <c r="C31" s="48"/>
      <c r="D31" s="49" t="s">
        <v>29</v>
      </c>
      <c r="E31" s="50"/>
      <c r="F31" s="26"/>
      <c r="G31" s="26"/>
      <c r="H31" s="25" t="str">
        <f>IFERROR(INDEX('Risk Matrix'!D$6:H$10,MATCH('Risk Assessment Two Pages'!F31,'Risk Matrix'!C$6:C$10,0),MATCH('Risk Assessment Two Pages'!G31,'Risk Matrix'!D$5:H$5,0)),"")</f>
        <v/>
      </c>
      <c r="I31" s="50"/>
      <c r="J31" s="50"/>
      <c r="K31" s="26"/>
      <c r="L31" s="26"/>
      <c r="M31" s="34" t="str">
        <f>IFERROR(INDEX('Risk Matrix'!D$6:H$10,MATCH('Risk Assessment Two Pages'!K31,'Risk Matrix'!C$6:C$10,0),MATCH('Risk Assessment Two Pages'!L31,'Risk Matrix'!D$5:H$5,0)),"")</f>
        <v/>
      </c>
    </row>
    <row r="32" spans="2:13" ht="48" customHeight="1" x14ac:dyDescent="0.3">
      <c r="B32" s="3" t="str">
        <f>IF(C32="","",MAX(B$6:B31)+1)</f>
        <v/>
      </c>
      <c r="C32" s="48"/>
      <c r="D32" s="49" t="s">
        <v>29</v>
      </c>
      <c r="E32" s="50"/>
      <c r="F32" s="26"/>
      <c r="G32" s="26"/>
      <c r="H32" s="25" t="str">
        <f>IFERROR(INDEX('Risk Matrix'!D$6:H$10,MATCH('Risk Assessment Two Pages'!F32,'Risk Matrix'!C$6:C$10,0),MATCH('Risk Assessment Two Pages'!G32,'Risk Matrix'!D$5:H$5,0)),"")</f>
        <v/>
      </c>
      <c r="I32" s="50"/>
      <c r="J32" s="50"/>
      <c r="K32" s="26"/>
      <c r="L32" s="26"/>
      <c r="M32" s="34" t="str">
        <f>IFERROR(INDEX('Risk Matrix'!D$6:H$10,MATCH('Risk Assessment Two Pages'!K32,'Risk Matrix'!C$6:C$10,0),MATCH('Risk Assessment Two Pages'!L32,'Risk Matrix'!D$5:H$5,0)),"")</f>
        <v/>
      </c>
    </row>
    <row r="33" spans="2:13" ht="48" customHeight="1" thickBot="1" x14ac:dyDescent="0.35">
      <c r="B33" s="70" t="str">
        <f>IF(C33="","",MAX(B$6:B32)+1)</f>
        <v/>
      </c>
      <c r="C33" s="71"/>
      <c r="D33" s="72" t="s">
        <v>29</v>
      </c>
      <c r="E33" s="73"/>
      <c r="F33" s="74"/>
      <c r="G33" s="74"/>
      <c r="H33" s="75" t="str">
        <f>IFERROR(INDEX('Risk Matrix'!D$6:H$10,MATCH('Risk Assessment Two Pages'!F33,'Risk Matrix'!C$6:C$10,0),MATCH('Risk Assessment Two Pages'!G33,'Risk Matrix'!D$5:H$5,0)),"")</f>
        <v/>
      </c>
      <c r="I33" s="73"/>
      <c r="J33" s="73"/>
      <c r="K33" s="74"/>
      <c r="L33" s="74"/>
      <c r="M33" s="76" t="str">
        <f>IFERROR(INDEX('Risk Matrix'!D$6:H$10,MATCH('Risk Assessment Two Pages'!K33,'Risk Matrix'!C$6:C$10,0),MATCH('Risk Assessment Two Pages'!L33,'Risk Matrix'!D$5:H$5,0)),"")</f>
        <v/>
      </c>
    </row>
    <row r="34" spans="2:13" ht="33.6" customHeight="1" x14ac:dyDescent="0.3">
      <c r="C34" s="30"/>
      <c r="E34" s="86" t="s">
        <v>48</v>
      </c>
      <c r="F34" s="84">
        <f>((COUNTIF(InherentProbability,'Risk Matrix'!$K$7) * 1) +
(COUNTIF(InherentProbability,'Risk Matrix'!$K$6) * 2) +
(COUNTIF(InherentProbability,'Risk Matrix'!$K$5) * 3) +
(COUNTIF(InherentProbability,'Risk Matrix'!$K$4) * 4) +
(COUNTIF(InherentProbability,'Risk Matrix'!$K$3) * 5))
/ COUNTA(InherentProbability)</f>
        <v>2.9090909090909092</v>
      </c>
      <c r="G34" s="84">
        <f>((COUNTIF(InherentImpact,'Risk Matrix'!$L$7)*1)+
(COUNTIF(InherentImpact,'Risk Matrix'!$L$6)*2)+
(COUNTIF(InherentImpact,'Risk Matrix'!$L$5)*3)+
(COUNTIF(InherentImpact,'Risk Matrix'!$L$4)*4)+
(COUNTIF(InherentImpact,'Risk Matrix'!$L$3)*5))
/COUNTA(InherentImpact)</f>
        <v>3.1818181818181817</v>
      </c>
      <c r="H34" s="47"/>
      <c r="J34" s="86" t="s">
        <v>49</v>
      </c>
      <c r="K34" s="84">
        <f>((COUNTIF(ResidualProbability,'Risk Matrix'!$K$7) * 1) +
(COUNTIF(ResidualProbability,'Risk Matrix'!$K$6) * 2) +
(COUNTIF(ResidualProbability,'Risk Matrix'!$K$5) * 3) +
(COUNTIF(ResidualProbability,'Risk Matrix'!$K$4) * 4) +
(COUNTIF(ResidualProbability,'Risk Matrix'!$K$3) * 5))
/ COUNTA(ResidualProbability)</f>
        <v>2.3636363636363638</v>
      </c>
      <c r="L34" s="84">
        <f>((COUNTIF(ResidualImpact,'Risk Matrix'!$L$7)*1)+
(COUNTIF(ResidualImpact,'Risk Matrix'!$L$6)*2)+
(COUNTIF(ResidualImpact,'Risk Matrix'!$L$5)*3)+
(COUNTIF(ResidualImpact,'Risk Matrix'!$L$4)*4)+
(COUNTIF(ResidualImpact,'Risk Matrix'!$L$3)*5))
/COUNTA(ResidualImpact)</f>
        <v>2.0909090909090908</v>
      </c>
      <c r="M34" s="85"/>
    </row>
    <row r="35" spans="2:13" ht="48" customHeight="1" x14ac:dyDescent="0.3">
      <c r="C35" s="30"/>
      <c r="E35" s="83" t="s">
        <v>46</v>
      </c>
      <c r="F35" s="81" t="str">
        <f>IF(F34&lt;=1.7,'Risk Matrix'!K$7,
IF(F34&lt;=2.5,'Risk Matrix'!K$6,
IF(F34&lt;=3.3,'Risk Matrix'!K$5,
IF(F34&lt;=4.1,'Risk Matrix'!K$4,
IF(F34&lt;=5,'Risk Matrix'!K$3,"")))))</f>
        <v>Medium</v>
      </c>
      <c r="G35" s="81" t="str">
        <f>IF(G34&lt;=1.7,'Risk Matrix'!L$7,
IF(G34&lt;=2.5,'Risk Matrix'!L$6,
IF(G34&lt;=3.3,'Risk Matrix'!L$5,
IF(G34&lt;=4.1,'Risk Matrix'!L$4,
IF(G34&lt;=5,'Risk Matrix'!L$3,"")))))</f>
        <v>Medium</v>
      </c>
      <c r="H35" s="82" t="str">
        <f>IFERROR(INDEX('Risk Matrix'!D$6:H$10,MATCH('Risk Assessment Two Pages'!F35,'Risk Matrix'!$C$6:$C$10,0),MATCH('Risk Assessment Two Pages'!G35,'Risk Matrix'!$D$5:$H$5,0)),"")</f>
        <v>Moderate</v>
      </c>
      <c r="J35" s="83" t="s">
        <v>47</v>
      </c>
      <c r="K35" s="81" t="str">
        <f>IF(K34&lt;=1.7,'Risk Matrix'!K$7,
IF(K34&lt;=2.5,'Risk Matrix'!K$6,
IF(K34&lt;=3.3,'Risk Matrix'!K$5,
IF(K34&lt;=4.1,'Risk Matrix'!K$4,
IF(K34&lt;=5,'Risk Matrix'!K$3,"")))))</f>
        <v>Low</v>
      </c>
      <c r="L35" s="81" t="str">
        <f>IF(L34&lt;=1.7,'Risk Matrix'!L$7,
IF(L34&lt;=2.5,'Risk Matrix'!L$6,
IF(L34&lt;=3.3,'Risk Matrix'!L$5,
IF(L34&lt;=4.1,'Risk Matrix'!L$4,
IF(L34&lt;=5,'Risk Matrix'!L$3,"")))))</f>
        <v>Low</v>
      </c>
      <c r="M35" s="82" t="str">
        <f>IFERROR(INDEX('Risk Matrix'!D$6:H$10,MATCH('Risk Assessment Two Pages'!K35,'Risk Matrix'!C$6:C$10,0),MATCH('Risk Assessment Two Pages'!L35,'Risk Matrix'!D$5:H$5,0)),"")</f>
        <v>Sustainable</v>
      </c>
    </row>
    <row r="36" spans="2:13" ht="48" customHeight="1" x14ac:dyDescent="0.3"/>
    <row r="37" spans="2:13" ht="48" customHeight="1" x14ac:dyDescent="0.3">
      <c r="E37" s="30"/>
      <c r="F37" s="87"/>
    </row>
    <row r="38" spans="2:13" ht="48" customHeight="1" x14ac:dyDescent="0.3">
      <c r="E38" s="30"/>
      <c r="F38" s="87"/>
    </row>
    <row r="39" spans="2:13" ht="48" customHeight="1" x14ac:dyDescent="0.3">
      <c r="E39" s="30"/>
      <c r="F39" s="87"/>
    </row>
    <row r="40" spans="2:13" ht="48" customHeight="1" x14ac:dyDescent="0.3">
      <c r="E40" s="30"/>
      <c r="F40" s="87"/>
    </row>
    <row r="41" spans="2:13" ht="48" customHeight="1" x14ac:dyDescent="0.3">
      <c r="E41" s="30"/>
      <c r="F41" s="87"/>
    </row>
    <row r="42" spans="2:13" ht="48" customHeight="1" x14ac:dyDescent="0.3"/>
    <row r="43" spans="2:13" ht="48" customHeight="1" x14ac:dyDescent="0.3"/>
    <row r="44" spans="2:13" ht="48" customHeight="1" x14ac:dyDescent="0.3"/>
    <row r="45" spans="2:13" ht="48" customHeight="1" x14ac:dyDescent="0.3"/>
    <row r="46" spans="2:13" ht="48" customHeight="1" x14ac:dyDescent="0.3"/>
    <row r="47" spans="2:13" ht="48" customHeight="1" x14ac:dyDescent="0.3"/>
    <row r="48" spans="2:13" ht="48" customHeight="1" x14ac:dyDescent="0.3"/>
    <row r="49" ht="48" customHeight="1" x14ac:dyDescent="0.3"/>
    <row r="50" ht="48" customHeight="1" x14ac:dyDescent="0.3"/>
    <row r="51" ht="48" customHeight="1" x14ac:dyDescent="0.3"/>
    <row r="52" ht="48" customHeight="1" x14ac:dyDescent="0.3"/>
    <row r="53" ht="48" customHeight="1" x14ac:dyDescent="0.3"/>
    <row r="54" ht="48" customHeight="1" x14ac:dyDescent="0.3"/>
    <row r="55" ht="48" customHeight="1" x14ac:dyDescent="0.3"/>
    <row r="56" ht="48" customHeight="1" x14ac:dyDescent="0.3"/>
    <row r="57" ht="48" customHeight="1" x14ac:dyDescent="0.3"/>
    <row r="58" ht="48" customHeight="1" x14ac:dyDescent="0.3"/>
    <row r="59" ht="48" customHeight="1" x14ac:dyDescent="0.3"/>
    <row r="60" ht="48" customHeight="1" x14ac:dyDescent="0.3"/>
    <row r="61" ht="48" customHeight="1" x14ac:dyDescent="0.3"/>
    <row r="62" ht="48" customHeight="1" x14ac:dyDescent="0.3"/>
    <row r="63" ht="48" customHeight="1" x14ac:dyDescent="0.3"/>
    <row r="64" ht="48" customHeight="1" x14ac:dyDescent="0.3"/>
    <row r="65" ht="48" customHeight="1" x14ac:dyDescent="0.3"/>
    <row r="66" ht="48" customHeight="1" x14ac:dyDescent="0.3"/>
    <row r="67" ht="48" customHeight="1" x14ac:dyDescent="0.3"/>
    <row r="68" ht="48" customHeight="1" x14ac:dyDescent="0.3"/>
    <row r="69" ht="48" customHeight="1" x14ac:dyDescent="0.3"/>
    <row r="70" ht="48" customHeight="1" x14ac:dyDescent="0.3"/>
    <row r="71" ht="48" customHeight="1" x14ac:dyDescent="0.3"/>
    <row r="72" ht="48" customHeight="1" x14ac:dyDescent="0.3"/>
    <row r="73" ht="48" customHeight="1" x14ac:dyDescent="0.3"/>
    <row r="74" ht="48" customHeight="1" x14ac:dyDescent="0.3"/>
  </sheetData>
  <mergeCells count="4">
    <mergeCell ref="B1:M1"/>
    <mergeCell ref="F4:H4"/>
    <mergeCell ref="K4:M4"/>
    <mergeCell ref="F2:H2"/>
  </mergeCells>
  <conditionalFormatting sqref="H6:H33">
    <cfRule type="containsText" dxfId="15" priority="21" operator="containsText" text="Sustainable">
      <formula>NOT(ISERROR(SEARCH("Sustainable",H6)))</formula>
    </cfRule>
    <cfRule type="containsText" dxfId="14" priority="22" operator="containsText" text="Moderate">
      <formula>NOT(ISERROR(SEARCH("Moderate",H6)))</formula>
    </cfRule>
    <cfRule type="containsText" dxfId="13" priority="23" operator="containsText" text="Critical">
      <formula>NOT(ISERROR(SEARCH("Critical",H6)))</formula>
    </cfRule>
    <cfRule type="containsText" dxfId="12" priority="24" operator="containsText" text="Severe">
      <formula>NOT(ISERROR(SEARCH("Severe",H6)))</formula>
    </cfRule>
  </conditionalFormatting>
  <conditionalFormatting sqref="H35">
    <cfRule type="containsText" dxfId="11" priority="13" operator="containsText" text="Sustainable">
      <formula>NOT(ISERROR(SEARCH("Sustainable",H35)))</formula>
    </cfRule>
    <cfRule type="containsText" dxfId="10" priority="14" operator="containsText" text="Moderate">
      <formula>NOT(ISERROR(SEARCH("Moderate",H35)))</formula>
    </cfRule>
    <cfRule type="containsText" dxfId="9" priority="15" operator="containsText" text="Critical">
      <formula>NOT(ISERROR(SEARCH("Critical",H35)))</formula>
    </cfRule>
    <cfRule type="containsText" dxfId="8" priority="16" operator="containsText" text="Severe">
      <formula>NOT(ISERROR(SEARCH("Severe",H35)))</formula>
    </cfRule>
  </conditionalFormatting>
  <conditionalFormatting sqref="M6:M33">
    <cfRule type="containsText" dxfId="7" priority="17" operator="containsText" text="Sustainable">
      <formula>NOT(ISERROR(SEARCH("Sustainable",M6)))</formula>
    </cfRule>
    <cfRule type="containsText" dxfId="6" priority="18" operator="containsText" text="Moderate">
      <formula>NOT(ISERROR(SEARCH("Moderate",M6)))</formula>
    </cfRule>
    <cfRule type="containsText" dxfId="5" priority="19" operator="containsText" text="Critical">
      <formula>NOT(ISERROR(SEARCH("Critical",M6)))</formula>
    </cfRule>
    <cfRule type="containsText" dxfId="4" priority="20" operator="containsText" text="Severe">
      <formula>NOT(ISERROR(SEARCH("Severe",M6)))</formula>
    </cfRule>
  </conditionalFormatting>
  <conditionalFormatting sqref="M35">
    <cfRule type="containsText" dxfId="3" priority="1" operator="containsText" text="Sustainable">
      <formula>NOT(ISERROR(SEARCH("Sustainable",M35)))</formula>
    </cfRule>
    <cfRule type="containsText" dxfId="2" priority="2" operator="containsText" text="Moderate">
      <formula>NOT(ISERROR(SEARCH("Moderate",M35)))</formula>
    </cfRule>
    <cfRule type="containsText" dxfId="1" priority="3" operator="containsText" text="Critical">
      <formula>NOT(ISERROR(SEARCH("Critical",M35)))</formula>
    </cfRule>
    <cfRule type="containsText" dxfId="0" priority="4" operator="containsText" text="Severe">
      <formula>NOT(ISERROR(SEARCH("Severe",M35)))</formula>
    </cfRule>
  </conditionalFormatting>
  <pageMargins left="0.7" right="0.7" top="0.75" bottom="0.75" header="0.3" footer="0.3"/>
  <pageSetup paperSize="9" orientation="portrait" horizontalDpi="4294967293"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'Risk Matrix'!$K$3:$K$7</xm:f>
          </x14:formula1>
          <xm:sqref>K6:K33 F6:F33</xm:sqref>
        </x14:dataValidation>
        <x14:dataValidation type="list" allowBlank="1" showInputMessage="1" showErrorMessage="1" xr:uid="{00000000-0002-0000-0000-000001000000}">
          <x14:formula1>
            <xm:f>'Risk Matrix'!$L$3:$L$7</xm:f>
          </x14:formula1>
          <xm:sqref>L6:L33 G6:G33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40"/>
  <sheetViews>
    <sheetView showGridLines="0" workbookViewId="0"/>
  </sheetViews>
  <sheetFormatPr defaultRowHeight="14.4" x14ac:dyDescent="0.3"/>
  <cols>
    <col min="1" max="1" width="4.6640625" customWidth="1"/>
    <col min="2" max="8" width="12.77734375" customWidth="1"/>
    <col min="9" max="9" width="7.109375" customWidth="1"/>
    <col min="10" max="10" width="7" customWidth="1"/>
    <col min="11" max="12" width="12.77734375" customWidth="1"/>
    <col min="13" max="13" width="7.6640625" bestFit="1" customWidth="1"/>
    <col min="14" max="16" width="12.77734375" customWidth="1"/>
  </cols>
  <sheetData>
    <row r="1" spans="2:16" x14ac:dyDescent="0.3">
      <c r="J1" s="42"/>
      <c r="K1" s="42"/>
      <c r="L1" s="42"/>
      <c r="M1" s="42"/>
    </row>
    <row r="2" spans="2:16" ht="25.8" x14ac:dyDescent="0.5">
      <c r="B2" s="28" t="s">
        <v>25</v>
      </c>
      <c r="C2" s="28"/>
      <c r="J2" s="63"/>
      <c r="K2" s="37" t="s">
        <v>3</v>
      </c>
      <c r="L2" s="35" t="s">
        <v>2</v>
      </c>
      <c r="M2" s="42"/>
    </row>
    <row r="3" spans="2:16" ht="25.8" x14ac:dyDescent="0.5">
      <c r="B3" s="27" t="s">
        <v>26</v>
      </c>
      <c r="C3" s="28"/>
      <c r="J3" s="63"/>
      <c r="K3" s="38" t="s">
        <v>22</v>
      </c>
      <c r="L3" s="36" t="s">
        <v>22</v>
      </c>
      <c r="M3" s="80"/>
    </row>
    <row r="4" spans="2:16" ht="30" customHeight="1" thickBot="1" x14ac:dyDescent="0.35">
      <c r="B4" s="100" t="s">
        <v>43</v>
      </c>
      <c r="C4" s="100"/>
      <c r="D4" s="100"/>
      <c r="E4" s="100"/>
      <c r="F4" s="100"/>
      <c r="G4" s="100"/>
      <c r="H4" s="100"/>
      <c r="J4" s="42"/>
      <c r="K4" s="38" t="s">
        <v>15</v>
      </c>
      <c r="L4" s="36" t="s">
        <v>15</v>
      </c>
      <c r="M4" s="80"/>
    </row>
    <row r="5" spans="2:16" ht="45" customHeight="1" thickBot="1" x14ac:dyDescent="0.35">
      <c r="B5" s="23"/>
      <c r="C5" s="24" t="s">
        <v>20</v>
      </c>
      <c r="D5" s="31" t="str">
        <f>L$7</f>
        <v>Very Low</v>
      </c>
      <c r="E5" s="8" t="str">
        <f>L$6</f>
        <v>Low</v>
      </c>
      <c r="F5" s="8" t="str">
        <f>L$5</f>
        <v>Medium</v>
      </c>
      <c r="G5" s="8" t="str">
        <f>L$4</f>
        <v>High</v>
      </c>
      <c r="H5" s="32" t="str">
        <f>L$3</f>
        <v>Very High</v>
      </c>
      <c r="J5" s="43"/>
      <c r="K5" s="38" t="s">
        <v>14</v>
      </c>
      <c r="L5" s="36" t="s">
        <v>14</v>
      </c>
      <c r="M5" s="79"/>
      <c r="N5" s="9"/>
      <c r="O5" s="9"/>
      <c r="P5" s="9"/>
    </row>
    <row r="6" spans="2:16" ht="45" customHeight="1" x14ac:dyDescent="0.3">
      <c r="B6" s="98" t="s">
        <v>3</v>
      </c>
      <c r="C6" s="6" t="str">
        <f>K$3</f>
        <v>Very High</v>
      </c>
      <c r="D6" s="39" t="s">
        <v>17</v>
      </c>
      <c r="E6" s="10" t="s">
        <v>18</v>
      </c>
      <c r="F6" s="10" t="s">
        <v>18</v>
      </c>
      <c r="G6" s="11" t="s">
        <v>19</v>
      </c>
      <c r="H6" s="12" t="s">
        <v>19</v>
      </c>
      <c r="J6" s="44"/>
      <c r="K6" s="38" t="s">
        <v>13</v>
      </c>
      <c r="L6" s="36" t="s">
        <v>13</v>
      </c>
      <c r="M6" s="80"/>
      <c r="N6" s="33"/>
      <c r="O6" s="33"/>
      <c r="P6" s="33"/>
    </row>
    <row r="7" spans="2:16" ht="45" customHeight="1" x14ac:dyDescent="0.3">
      <c r="B7" s="98"/>
      <c r="C7" s="6" t="str">
        <f>K$4</f>
        <v>High</v>
      </c>
      <c r="D7" s="40" t="s">
        <v>16</v>
      </c>
      <c r="E7" s="14" t="s">
        <v>17</v>
      </c>
      <c r="F7" s="15" t="s">
        <v>18</v>
      </c>
      <c r="G7" s="16" t="s">
        <v>19</v>
      </c>
      <c r="H7" s="17" t="s">
        <v>19</v>
      </c>
      <c r="J7" s="44"/>
      <c r="K7" s="38" t="s">
        <v>21</v>
      </c>
      <c r="L7" s="36" t="s">
        <v>21</v>
      </c>
      <c r="M7" s="80"/>
      <c r="N7" s="33"/>
      <c r="O7" s="33"/>
      <c r="P7" s="33"/>
    </row>
    <row r="8" spans="2:16" ht="45" customHeight="1" x14ac:dyDescent="0.3">
      <c r="B8" s="98"/>
      <c r="C8" s="6" t="str">
        <f>K$5</f>
        <v>Medium</v>
      </c>
      <c r="D8" s="40" t="s">
        <v>16</v>
      </c>
      <c r="E8" s="14" t="s">
        <v>17</v>
      </c>
      <c r="F8" s="14" t="s">
        <v>17</v>
      </c>
      <c r="G8" s="15" t="s">
        <v>18</v>
      </c>
      <c r="H8" s="17" t="s">
        <v>19</v>
      </c>
      <c r="J8" s="44"/>
      <c r="K8" s="45"/>
      <c r="L8" s="46"/>
      <c r="M8" s="46"/>
      <c r="N8" s="33"/>
      <c r="O8" s="33"/>
      <c r="P8" s="33"/>
    </row>
    <row r="9" spans="2:16" ht="45" customHeight="1" x14ac:dyDescent="0.3">
      <c r="B9" s="98"/>
      <c r="C9" s="6" t="str">
        <f>K$6</f>
        <v>Low</v>
      </c>
      <c r="D9" s="40" t="s">
        <v>16</v>
      </c>
      <c r="E9" s="18" t="s">
        <v>16</v>
      </c>
      <c r="F9" s="14" t="s">
        <v>17</v>
      </c>
      <c r="G9" s="15" t="s">
        <v>18</v>
      </c>
      <c r="H9" s="17" t="s">
        <v>19</v>
      </c>
      <c r="J9" s="5"/>
      <c r="K9" s="9"/>
      <c r="L9" s="33"/>
      <c r="M9" s="33"/>
      <c r="N9" s="33"/>
      <c r="O9" s="33"/>
      <c r="P9" s="33"/>
    </row>
    <row r="10" spans="2:16" ht="45" customHeight="1" thickBot="1" x14ac:dyDescent="0.35">
      <c r="B10" s="99"/>
      <c r="C10" s="7" t="str">
        <f>K$7</f>
        <v>Very Low</v>
      </c>
      <c r="D10" s="41" t="s">
        <v>16</v>
      </c>
      <c r="E10" s="20" t="s">
        <v>16</v>
      </c>
      <c r="F10" s="20" t="s">
        <v>16</v>
      </c>
      <c r="G10" s="21" t="s">
        <v>17</v>
      </c>
      <c r="H10" s="22" t="s">
        <v>18</v>
      </c>
      <c r="J10" s="5"/>
      <c r="K10" s="9"/>
      <c r="L10" s="33"/>
      <c r="M10" s="33"/>
      <c r="N10" s="33"/>
      <c r="O10" s="33"/>
      <c r="P10" s="33"/>
    </row>
    <row r="11" spans="2:16" x14ac:dyDescent="0.3">
      <c r="B11" s="5"/>
    </row>
    <row r="12" spans="2:16" x14ac:dyDescent="0.3">
      <c r="B12" s="5"/>
    </row>
    <row r="13" spans="2:16" ht="21.6" thickBot="1" x14ac:dyDescent="0.45">
      <c r="B13" s="27" t="s">
        <v>27</v>
      </c>
      <c r="C13" s="9"/>
      <c r="D13" s="9"/>
    </row>
    <row r="14" spans="2:16" ht="45" customHeight="1" thickBot="1" x14ac:dyDescent="0.35">
      <c r="B14" s="95" t="s">
        <v>2</v>
      </c>
      <c r="C14" s="96"/>
      <c r="D14" s="31" t="str">
        <f>L$7</f>
        <v>Very Low</v>
      </c>
      <c r="E14" s="8" t="str">
        <f>L$6</f>
        <v>Low</v>
      </c>
      <c r="F14" s="8" t="str">
        <f>L$5</f>
        <v>Medium</v>
      </c>
      <c r="G14" s="8" t="str">
        <f>L$4</f>
        <v>High</v>
      </c>
      <c r="H14" s="32" t="str">
        <f>L$3</f>
        <v>Very High</v>
      </c>
    </row>
    <row r="15" spans="2:16" ht="45" customHeight="1" x14ac:dyDescent="0.3">
      <c r="B15" s="97" t="s">
        <v>3</v>
      </c>
      <c r="C15" s="6" t="str">
        <f>K$3</f>
        <v>Very High</v>
      </c>
      <c r="D15" s="39" t="str">
        <f>IF(COUNTIFS(InherentProbability,'Risk Matrix'!$K3,InherentImpact,'Risk Matrix'!$L$7)=0,"",COUNTIFS(InherentProbability,'Risk Matrix'!$K3,InherentImpact,'Risk Matrix'!$L$7))</f>
        <v/>
      </c>
      <c r="E15" s="10" t="str">
        <f>IF(COUNTIFS(InherentProbability,'Risk Matrix'!$K3,InherentImpact,'Risk Matrix'!$L$6)=0,"",COUNTIFS(InherentProbability,'Risk Matrix'!$K3,InherentImpact,'Risk Matrix'!$L$6))</f>
        <v/>
      </c>
      <c r="F15" s="10">
        <f>IF(COUNTIFS(InherentProbability,'Risk Matrix'!$K3,InherentImpact,'Risk Matrix'!$L$5)=0,"",COUNTIFS(InherentProbability,'Risk Matrix'!$K3,InherentImpact,'Risk Matrix'!$L$5))</f>
        <v>1</v>
      </c>
      <c r="G15" s="11" t="str">
        <f>IF(COUNTIFS(InherentProbability,'Risk Matrix'!$K3,InherentImpact,'Risk Matrix'!$L$4)=0,"",COUNTIFS(InherentProbability,'Risk Matrix'!$K3,InherentImpact,'Risk Matrix'!$L$4))</f>
        <v/>
      </c>
      <c r="H15" s="12" t="str">
        <f>IF(COUNTIFS(InherentProbability,'Risk Matrix'!$K3,InherentImpact,'Risk Matrix'!$L$3)=0,"",COUNTIFS(InherentProbability,'Risk Matrix'!$K3,InherentImpact,'Risk Matrix'!$L$3))</f>
        <v/>
      </c>
    </row>
    <row r="16" spans="2:16" ht="45" customHeight="1" x14ac:dyDescent="0.3">
      <c r="B16" s="98"/>
      <c r="C16" s="6" t="str">
        <f>K$4</f>
        <v>High</v>
      </c>
      <c r="D16" s="40">
        <f>IF(COUNTIFS(InherentProbability,'Risk Matrix'!$K4,InherentImpact,'Risk Matrix'!$L$7)=0,"",COUNTIFS(InherentProbability,'Risk Matrix'!$K4,InherentImpact,'Risk Matrix'!$L$7))</f>
        <v>1</v>
      </c>
      <c r="E16" s="14" t="str">
        <f>IF(COUNTIFS(InherentProbability,'Risk Matrix'!$K4,InherentImpact,'Risk Matrix'!$L$6)=0,"",COUNTIFS(InherentProbability,'Risk Matrix'!$K4,InherentImpact,'Risk Matrix'!$L$6))</f>
        <v/>
      </c>
      <c r="F16" s="15" t="str">
        <f>IF(COUNTIFS(InherentProbability,'Risk Matrix'!$K4,InherentImpact,'Risk Matrix'!$L$5)=0,"",COUNTIFS(InherentProbability,'Risk Matrix'!$K4,InherentImpact,'Risk Matrix'!$L$5))</f>
        <v/>
      </c>
      <c r="G16" s="16">
        <f>IF(COUNTIFS(InherentProbability,'Risk Matrix'!$K4,InherentImpact,'Risk Matrix'!$L$4)=0,"",COUNTIFS(InherentProbability,'Risk Matrix'!$K4,InherentImpact,'Risk Matrix'!$L$4))</f>
        <v>1</v>
      </c>
      <c r="H16" s="17" t="str">
        <f>IF(COUNTIFS(InherentProbability,'Risk Matrix'!$K4,InherentImpact,'Risk Matrix'!$L$3)=0,"",COUNTIFS(InherentProbability,'Risk Matrix'!$K4,InherentImpact,'Risk Matrix'!$L$3))</f>
        <v/>
      </c>
    </row>
    <row r="17" spans="2:8" ht="45" customHeight="1" x14ac:dyDescent="0.3">
      <c r="B17" s="98"/>
      <c r="C17" s="6" t="str">
        <f>K$5</f>
        <v>Medium</v>
      </c>
      <c r="D17" s="40">
        <f>IF(COUNTIFS(InherentProbability,'Risk Matrix'!$K5,InherentImpact,'Risk Matrix'!$L$7)=0,"",COUNTIFS(InherentProbability,'Risk Matrix'!$K5,InherentImpact,'Risk Matrix'!$L$7))</f>
        <v>1</v>
      </c>
      <c r="E17" s="14">
        <f>IF(COUNTIFS(InherentProbability,'Risk Matrix'!$K5,InherentImpact,'Risk Matrix'!$L$6)=0,"",COUNTIFS(InherentProbability,'Risk Matrix'!$K5,InherentImpact,'Risk Matrix'!$L$6))</f>
        <v>1</v>
      </c>
      <c r="F17" s="14" t="str">
        <f>IF(COUNTIFS(InherentProbability,'Risk Matrix'!$K5,InherentImpact,'Risk Matrix'!$L$5)=0,"",COUNTIFS(InherentProbability,'Risk Matrix'!$K5,InherentImpact,'Risk Matrix'!$L$5))</f>
        <v/>
      </c>
      <c r="G17" s="15">
        <f>IF(COUNTIFS(InherentProbability,'Risk Matrix'!$K5,InherentImpact,'Risk Matrix'!$L$4)=0,"",COUNTIFS(InherentProbability,'Risk Matrix'!$K5,InherentImpact,'Risk Matrix'!$L$4))</f>
        <v>1</v>
      </c>
      <c r="H17" s="17">
        <f>IF(COUNTIFS(InherentProbability,'Risk Matrix'!$K5,InherentImpact,'Risk Matrix'!$L$3)=0,"",COUNTIFS(InherentProbability,'Risk Matrix'!$K5,InherentImpact,'Risk Matrix'!$L$3))</f>
        <v>1</v>
      </c>
    </row>
    <row r="18" spans="2:8" ht="45" customHeight="1" x14ac:dyDescent="0.3">
      <c r="B18" s="98"/>
      <c r="C18" s="6" t="str">
        <f>K$6</f>
        <v>Low</v>
      </c>
      <c r="D18" s="40" t="str">
        <f>IF(COUNTIFS(InherentProbability,'Risk Matrix'!$K6,InherentImpact,'Risk Matrix'!$L$7)=0,"",COUNTIFS(InherentProbability,'Risk Matrix'!$K6,InherentImpact,'Risk Matrix'!$L$7))</f>
        <v/>
      </c>
      <c r="E18" s="18" t="str">
        <f>IF(COUNTIFS(InherentProbability,'Risk Matrix'!$K6,InherentImpact,'Risk Matrix'!$L$6)=0,"",COUNTIFS(InherentProbability,'Risk Matrix'!$K6,InherentImpact,'Risk Matrix'!$L$6))</f>
        <v/>
      </c>
      <c r="F18" s="14">
        <f>IF(COUNTIFS(InherentProbability,'Risk Matrix'!$K6,InherentImpact,'Risk Matrix'!$L$5)=0,"",COUNTIFS(InherentProbability,'Risk Matrix'!$K6,InherentImpact,'Risk Matrix'!$L$5))</f>
        <v>1</v>
      </c>
      <c r="G18" s="15">
        <f>IF(COUNTIFS(InherentProbability,'Risk Matrix'!$K6,InherentImpact,'Risk Matrix'!$L$4)=0,"",COUNTIFS(InherentProbability,'Risk Matrix'!$K6,InherentImpact,'Risk Matrix'!$L$4))</f>
        <v>2</v>
      </c>
      <c r="H18" s="17" t="str">
        <f>IF(COUNTIFS(InherentProbability,'Risk Matrix'!$K6,InherentImpact,'Risk Matrix'!$L$3)=0,"",COUNTIFS(InherentProbability,'Risk Matrix'!$K6,InherentImpact,'Risk Matrix'!$L$3))</f>
        <v/>
      </c>
    </row>
    <row r="19" spans="2:8" ht="45" customHeight="1" thickBot="1" x14ac:dyDescent="0.35">
      <c r="B19" s="99"/>
      <c r="C19" s="7" t="str">
        <f>K$7</f>
        <v>Very Low</v>
      </c>
      <c r="D19" s="41" t="str">
        <f>IF(COUNTIFS(InherentProbability,'Risk Matrix'!$K7,InherentImpact,'Risk Matrix'!$L$7)=0,"",COUNTIFS(InherentProbability,'Risk Matrix'!$K7,InherentImpact,'Risk Matrix'!$L$7))</f>
        <v/>
      </c>
      <c r="E19" s="20" t="str">
        <f>IF(COUNTIFS(InherentProbability,'Risk Matrix'!$K7,InherentImpact,'Risk Matrix'!$L$6)=0,"",COUNTIFS(InherentProbability,'Risk Matrix'!$K7,InherentImpact,'Risk Matrix'!$L$6))</f>
        <v/>
      </c>
      <c r="F19" s="20" t="str">
        <f>IF(COUNTIFS(InherentProbability,'Risk Matrix'!$K7,InherentImpact,'Risk Matrix'!$L$5)=0,"",COUNTIFS(InherentProbability,'Risk Matrix'!$K7,InherentImpact,'Risk Matrix'!$L$5))</f>
        <v/>
      </c>
      <c r="G19" s="21">
        <f>IF(COUNTIFS(InherentProbability,'Risk Matrix'!$K7,InherentImpact,'Risk Matrix'!$L$4)=0,"",COUNTIFS(InherentProbability,'Risk Matrix'!$K7,InherentImpact,'Risk Matrix'!$L$4))</f>
        <v>1</v>
      </c>
      <c r="H19" s="22" t="str">
        <f>IF(COUNTIFS(InherentProbability,'Risk Matrix'!$K7,InherentImpact,'Risk Matrix'!$L$3)=0,"",COUNTIFS(InherentProbability,'Risk Matrix'!$K7,InherentImpact,'Risk Matrix'!$L$3))</f>
        <v/>
      </c>
    </row>
    <row r="22" spans="2:8" ht="21.6" thickBot="1" x14ac:dyDescent="0.45">
      <c r="B22" s="27" t="s">
        <v>28</v>
      </c>
      <c r="C22" s="9"/>
      <c r="D22" s="9"/>
    </row>
    <row r="23" spans="2:8" ht="45" customHeight="1" thickBot="1" x14ac:dyDescent="0.35">
      <c r="B23" s="95" t="s">
        <v>2</v>
      </c>
      <c r="C23" s="96"/>
      <c r="D23" s="31" t="str">
        <f>L$7</f>
        <v>Very Low</v>
      </c>
      <c r="E23" s="8" t="str">
        <f>L$6</f>
        <v>Low</v>
      </c>
      <c r="F23" s="8" t="str">
        <f>L$5</f>
        <v>Medium</v>
      </c>
      <c r="G23" s="8" t="str">
        <f>L$4</f>
        <v>High</v>
      </c>
      <c r="H23" s="32" t="str">
        <f>L$3</f>
        <v>Very High</v>
      </c>
    </row>
    <row r="24" spans="2:8" ht="45" customHeight="1" x14ac:dyDescent="0.3">
      <c r="B24" s="97" t="s">
        <v>3</v>
      </c>
      <c r="C24" s="6" t="str">
        <f>K$3</f>
        <v>Very High</v>
      </c>
      <c r="D24" s="39">
        <f>IF(COUNTIFS(ResidualProbability,'Risk Matrix'!$K3,ResidualImpact,'Risk Matrix'!$L$7)=0,"",COUNTIFS(ResidualProbability,'Risk Matrix'!$K3,ResidualImpact,'Risk Matrix'!$L$7))</f>
        <v>1</v>
      </c>
      <c r="E24" s="10" t="str">
        <f>IF(COUNTIFS(ResidualProbability,'Risk Matrix'!$K3,ResidualImpact,'Risk Matrix'!$L$6)=0,"",COUNTIFS(ResidualProbability,'Risk Matrix'!$K3,ResidualImpact,'Risk Matrix'!$L$6))</f>
        <v/>
      </c>
      <c r="F24" s="10" t="str">
        <f>IF(COUNTIFS(ResidualProbability,'Risk Matrix'!$K3,ResidualImpact,'Risk Matrix'!$L$5)=0,"",COUNTIFS(ResidualProbability,'Risk Matrix'!$K3,ResidualImpact,'Risk Matrix'!$L$5))</f>
        <v/>
      </c>
      <c r="G24" s="11" t="str">
        <f>IF(COUNTIFS(ResidualProbability,'Risk Matrix'!$K3,ResidualImpact,'Risk Matrix'!$L$4)=0,"",COUNTIFS(ResidualProbability,'Risk Matrix'!$K3,ResidualImpact,'Risk Matrix'!$L$4))</f>
        <v/>
      </c>
      <c r="H24" s="12" t="str">
        <f>IF(COUNTIFS(ResidualProbability,'Risk Matrix'!$K3,ResidualImpact,'Risk Matrix'!$L$3)=0,"",COUNTIFS(ResidualProbability,'Risk Matrix'!$K3,ResidualImpact,'Risk Matrix'!$L$3))</f>
        <v/>
      </c>
    </row>
    <row r="25" spans="2:8" ht="45" customHeight="1" x14ac:dyDescent="0.3">
      <c r="B25" s="98"/>
      <c r="C25" s="6" t="str">
        <f>K$4</f>
        <v>High</v>
      </c>
      <c r="D25" s="13" t="str">
        <f>IF(COUNTIFS(ResidualProbability,'Risk Matrix'!$K4,ResidualImpact,'Risk Matrix'!$L$7)=0,"",COUNTIFS(ResidualProbability,'Risk Matrix'!$K4,ResidualImpact,'Risk Matrix'!$L$7))</f>
        <v/>
      </c>
      <c r="E25" s="14" t="str">
        <f>IF(COUNTIFS(ResidualProbability,'Risk Matrix'!$K4,ResidualImpact,'Risk Matrix'!$L$6)=0,"",COUNTIFS(ResidualProbability,'Risk Matrix'!$K4,ResidualImpact,'Risk Matrix'!$L$6))</f>
        <v/>
      </c>
      <c r="F25" s="15" t="str">
        <f>IF(COUNTIFS(ResidualProbability,'Risk Matrix'!$K4,ResidualImpact,'Risk Matrix'!$L$5)=0,"",COUNTIFS(ResidualProbability,'Risk Matrix'!$K4,ResidualImpact,'Risk Matrix'!$L$5))</f>
        <v/>
      </c>
      <c r="G25" s="16" t="str">
        <f>IF(COUNTIFS(ResidualProbability,'Risk Matrix'!$K4,ResidualImpact,'Risk Matrix'!$L$4)=0,"",COUNTIFS(ResidualProbability,'Risk Matrix'!$K4,ResidualImpact,'Risk Matrix'!$L$4))</f>
        <v/>
      </c>
      <c r="H25" s="17" t="str">
        <f>IF(COUNTIFS(ResidualProbability,'Risk Matrix'!$K4,ResidualImpact,'Risk Matrix'!$L$3)=0,"",COUNTIFS(ResidualProbability,'Risk Matrix'!$K4,ResidualImpact,'Risk Matrix'!$L$3))</f>
        <v/>
      </c>
    </row>
    <row r="26" spans="2:8" ht="45" customHeight="1" x14ac:dyDescent="0.3">
      <c r="B26" s="98"/>
      <c r="C26" s="6" t="str">
        <f>K$5</f>
        <v>Medium</v>
      </c>
      <c r="D26" s="13">
        <f>IF(COUNTIFS(ResidualProbability,'Risk Matrix'!$K5,ResidualImpact,'Risk Matrix'!$L$7)=0,"",COUNTIFS(ResidualProbability,'Risk Matrix'!$K5,ResidualImpact,'Risk Matrix'!$L$7))</f>
        <v>1</v>
      </c>
      <c r="E26" s="14" t="str">
        <f>IF(COUNTIFS(ResidualProbability,'Risk Matrix'!$K5,ResidualImpact,'Risk Matrix'!$L$6)=0,"",COUNTIFS(ResidualProbability,'Risk Matrix'!$K5,ResidualImpact,'Risk Matrix'!$L$6))</f>
        <v/>
      </c>
      <c r="F26" s="14">
        <f>IF(COUNTIFS(ResidualProbability,'Risk Matrix'!$K5,ResidualImpact,'Risk Matrix'!$L$5)=0,"",COUNTIFS(ResidualProbability,'Risk Matrix'!$K5,ResidualImpact,'Risk Matrix'!$L$5))</f>
        <v>1</v>
      </c>
      <c r="G26" s="15" t="str">
        <f>IF(COUNTIFS(ResidualProbability,'Risk Matrix'!$K5,ResidualImpact,'Risk Matrix'!$L$4)=0,"",COUNTIFS(ResidualProbability,'Risk Matrix'!$K5,ResidualImpact,'Risk Matrix'!$L$4))</f>
        <v/>
      </c>
      <c r="H26" s="17" t="str">
        <f>IF(COUNTIFS(ResidualProbability,'Risk Matrix'!$K5,ResidualImpact,'Risk Matrix'!$L$3)=0,"",COUNTIFS(ResidualProbability,'Risk Matrix'!$K5,ResidualImpact,'Risk Matrix'!$L$3))</f>
        <v/>
      </c>
    </row>
    <row r="27" spans="2:8" ht="45" customHeight="1" x14ac:dyDescent="0.3">
      <c r="B27" s="98"/>
      <c r="C27" s="6" t="str">
        <f>K$6</f>
        <v>Low</v>
      </c>
      <c r="D27" s="13">
        <f>IF(COUNTIFS(ResidualProbability,'Risk Matrix'!$K6,ResidualImpact,'Risk Matrix'!$L$7)=0,"",COUNTIFS(ResidualProbability,'Risk Matrix'!$K6,ResidualImpact,'Risk Matrix'!$L$7))</f>
        <v>1</v>
      </c>
      <c r="E27" s="18">
        <f>IF(COUNTIFS(ResidualProbability,'Risk Matrix'!$K6,ResidualImpact,'Risk Matrix'!$L$6)=0,"",COUNTIFS(ResidualProbability,'Risk Matrix'!$K6,ResidualImpact,'Risk Matrix'!$L$6))</f>
        <v>4</v>
      </c>
      <c r="F27" s="14">
        <f>IF(COUNTIFS(ResidualProbability,'Risk Matrix'!$K6,ResidualImpact,'Risk Matrix'!$L$5)=0,"",COUNTIFS(ResidualProbability,'Risk Matrix'!$K6,ResidualImpact,'Risk Matrix'!$L$5))</f>
        <v>2</v>
      </c>
      <c r="G27" s="15" t="str">
        <f>IF(COUNTIFS(ResidualProbability,'Risk Matrix'!$K6,ResidualImpact,'Risk Matrix'!$L$4)=0,"",COUNTIFS(ResidualProbability,'Risk Matrix'!$K6,ResidualImpact,'Risk Matrix'!$L$4))</f>
        <v/>
      </c>
      <c r="H27" s="17" t="str">
        <f>IF(COUNTIFS(ResidualProbability,'Risk Matrix'!$K6,ResidualImpact,'Risk Matrix'!$L$3)=0,"",COUNTIFS(ResidualProbability,'Risk Matrix'!$K6,ResidualImpact,'Risk Matrix'!$L$3))</f>
        <v/>
      </c>
    </row>
    <row r="28" spans="2:8" ht="45" customHeight="1" thickBot="1" x14ac:dyDescent="0.35">
      <c r="B28" s="99"/>
      <c r="C28" s="7" t="str">
        <f>K$7</f>
        <v>Very Low</v>
      </c>
      <c r="D28" s="19" t="str">
        <f>IF(COUNTIFS(ResidualProbability,'Risk Matrix'!$K7,ResidualImpact,'Risk Matrix'!$L$7)=0,"",COUNTIFS(ResidualProbability,'Risk Matrix'!$K7,ResidualImpact,'Risk Matrix'!$L$7))</f>
        <v/>
      </c>
      <c r="E28" s="20" t="str">
        <f>IF(COUNTIFS(ResidualProbability,'Risk Matrix'!$K7,ResidualImpact,'Risk Matrix'!$L$6)=0,"",COUNTIFS(ResidualProbability,'Risk Matrix'!$K7,ResidualImpact,'Risk Matrix'!$L$6))</f>
        <v/>
      </c>
      <c r="F28" s="20">
        <f>IF(COUNTIFS(ResidualProbability,'Risk Matrix'!$K7,ResidualImpact,'Risk Matrix'!$L$5)=0,"",COUNTIFS(ResidualProbability,'Risk Matrix'!$K7,ResidualImpact,'Risk Matrix'!$L$5))</f>
        <v>1</v>
      </c>
      <c r="G28" s="21" t="str">
        <f>IF(COUNTIFS(ResidualProbability,'Risk Matrix'!$K7,ResidualImpact,'Risk Matrix'!$L$4)=0,"",COUNTIFS(ResidualProbability,'Risk Matrix'!$K7,ResidualImpact,'Risk Matrix'!$L$4))</f>
        <v/>
      </c>
      <c r="H28" s="22" t="str">
        <f>IF(COUNTIFS(ResidualProbability,'Risk Matrix'!$K7,ResidualImpact,'Risk Matrix'!$L$3)=0,"",COUNTIFS(ResidualProbability,'Risk Matrix'!$K7,ResidualImpact,'Risk Matrix'!$L$3))</f>
        <v/>
      </c>
    </row>
    <row r="29" spans="2:8" ht="45" customHeight="1" x14ac:dyDescent="0.3"/>
    <row r="30" spans="2:8" ht="45" customHeight="1" x14ac:dyDescent="0.3"/>
    <row r="31" spans="2:8" ht="45" customHeight="1" x14ac:dyDescent="0.3"/>
    <row r="32" spans="2:8" ht="45" customHeight="1" x14ac:dyDescent="0.3"/>
    <row r="33" ht="45" customHeight="1" x14ac:dyDescent="0.3"/>
    <row r="34" ht="45" customHeight="1" x14ac:dyDescent="0.3"/>
    <row r="35" ht="45" customHeight="1" x14ac:dyDescent="0.3"/>
    <row r="36" ht="45" customHeight="1" x14ac:dyDescent="0.3"/>
    <row r="37" ht="45" customHeight="1" x14ac:dyDescent="0.3"/>
    <row r="38" ht="45" customHeight="1" x14ac:dyDescent="0.3"/>
    <row r="39" ht="45" customHeight="1" x14ac:dyDescent="0.3"/>
    <row r="40" ht="45" customHeight="1" x14ac:dyDescent="0.3"/>
  </sheetData>
  <mergeCells count="6">
    <mergeCell ref="B23:C23"/>
    <mergeCell ref="B24:B28"/>
    <mergeCell ref="B4:H4"/>
    <mergeCell ref="B6:B10"/>
    <mergeCell ref="B14:C14"/>
    <mergeCell ref="B15:B19"/>
  </mergeCells>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57"/>
      <c r="B1" s="58" t="s">
        <v>41</v>
      </c>
      <c r="C1" s="57"/>
    </row>
    <row r="2" spans="1:3" ht="15" x14ac:dyDescent="0.3">
      <c r="A2" s="59"/>
      <c r="B2" s="59"/>
      <c r="C2" s="60"/>
    </row>
    <row r="3" spans="1:3" ht="19.2" customHeight="1" x14ac:dyDescent="0.3">
      <c r="A3" s="59"/>
      <c r="B3" s="59" t="s">
        <v>45</v>
      </c>
      <c r="C3" s="60"/>
    </row>
    <row r="4" spans="1:3" ht="15" x14ac:dyDescent="0.3">
      <c r="A4" s="59"/>
      <c r="B4" s="59"/>
      <c r="C4" s="60"/>
    </row>
    <row r="5" spans="1:3" ht="45" x14ac:dyDescent="0.3">
      <c r="A5" s="59"/>
      <c r="B5" s="61" t="s">
        <v>36</v>
      </c>
      <c r="C5" s="60"/>
    </row>
    <row r="6" spans="1:3" ht="15" x14ac:dyDescent="0.3">
      <c r="A6" s="59"/>
      <c r="B6" s="59"/>
      <c r="C6" s="60"/>
    </row>
    <row r="7" spans="1:3" ht="30" x14ac:dyDescent="0.3">
      <c r="A7" s="59"/>
      <c r="B7" s="61" t="s">
        <v>37</v>
      </c>
      <c r="C7" s="60"/>
    </row>
    <row r="8" spans="1:3" ht="15" x14ac:dyDescent="0.3">
      <c r="A8" s="59"/>
      <c r="B8" s="59"/>
      <c r="C8" s="60"/>
    </row>
    <row r="9" spans="1:3" ht="45.6" x14ac:dyDescent="0.3">
      <c r="A9" s="59"/>
      <c r="B9" s="61" t="s">
        <v>38</v>
      </c>
      <c r="C9" s="60"/>
    </row>
    <row r="10" spans="1:3" ht="15" x14ac:dyDescent="0.3">
      <c r="A10" s="59"/>
      <c r="B10" s="59"/>
      <c r="C10" s="60"/>
    </row>
    <row r="11" spans="1:3" ht="15" x14ac:dyDescent="0.3">
      <c r="A11" s="59"/>
      <c r="B11" s="59" t="s">
        <v>44</v>
      </c>
      <c r="C11" s="60"/>
    </row>
    <row r="12" spans="1:3" ht="15" x14ac:dyDescent="0.3">
      <c r="A12" s="59"/>
      <c r="B12" s="59"/>
      <c r="C12" s="60"/>
    </row>
    <row r="13" spans="1:3" ht="24" customHeight="1" thickBot="1" x14ac:dyDescent="0.35">
      <c r="A13" s="59"/>
      <c r="B13" s="62" t="s">
        <v>39</v>
      </c>
      <c r="C13" s="60"/>
    </row>
    <row r="14" spans="1:3" ht="15" x14ac:dyDescent="0.3">
      <c r="A14" s="59"/>
      <c r="B14" s="59"/>
      <c r="C14" s="60"/>
    </row>
    <row r="15" spans="1:3" ht="90" x14ac:dyDescent="0.3">
      <c r="A15" s="59"/>
      <c r="B15" s="61" t="s">
        <v>40</v>
      </c>
      <c r="C15" s="60"/>
    </row>
    <row r="16" spans="1:3" ht="15" x14ac:dyDescent="0.3">
      <c r="A16" s="59"/>
      <c r="B16" s="59"/>
      <c r="C16" s="60"/>
    </row>
    <row r="17" spans="1:3" ht="15" x14ac:dyDescent="0.3">
      <c r="A17" s="59"/>
      <c r="B17" s="59"/>
      <c r="C17" s="60"/>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Risk Assessment Two Pages</vt:lpstr>
      <vt:lpstr>Risk Matrix</vt:lpstr>
      <vt:lpstr>©</vt:lpstr>
      <vt:lpstr>InherentImpact</vt:lpstr>
      <vt:lpstr>InherentProbability</vt:lpstr>
      <vt:lpstr>ResidualImpact</vt:lpstr>
      <vt:lpstr>ResidualProbability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2024-03-13T01:27:54Z</dcterms:created>
  <dcterms:modified xsi:type="dcterms:W3CDTF">2024-04-30T06:32:55Z</dcterms:modified>
</cp:coreProperties>
</file>