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1296C220-FC3F-4B87-B3BF-81AAB6DE5735}" xr6:coauthVersionLast="47" xr6:coauthVersionMax="47" xr10:uidLastSave="{00000000-0000-0000-0000-000000000000}"/>
  <bookViews>
    <workbookView xWindow="-108" yWindow="-108" windowWidth="23256" windowHeight="12576" xr2:uid="{00000000-000D-0000-FFFF-FFFF00000000}"/>
  </bookViews>
  <sheets>
    <sheet name="Budget vs Actual Monthly - List" sheetId="1" r:id="rId1"/>
    <sheet name="Budget vs Actual Monthly -Chart" sheetId="2" r:id="rId2"/>
    <sheet name="Budget vs Actual Weekly - List" sheetId="4" r:id="rId3"/>
    <sheet name="Budget vs Actual Weekly - Chart" sheetId="5" r:id="rId4"/>
    <sheet name="©" sheetId="3" r:id="rId5"/>
  </sheets>
  <definedNames>
    <definedName name="_xlnm._FilterDatabase" localSheetId="0" hidden="1">'Budget vs Actual Monthly - List'!$B$5:$D$49</definedName>
    <definedName name="_xlnm._FilterDatabase" localSheetId="2" hidden="1">'Budget vs Actual Weekly - List'!$B$5:$D$49</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F48" i="4" l="1" a="1"/>
  <c r="BF48" i="4"/>
  <c r="BF49" i="4"/>
  <c r="BE48" i="4" a="1"/>
  <c r="BE48" i="4"/>
  <c r="BE49" i="4"/>
  <c r="BD48" i="4" a="1"/>
  <c r="BD48" i="4"/>
  <c r="BD49" i="4"/>
  <c r="BC48" i="4" a="1"/>
  <c r="BC48" i="4"/>
  <c r="BC49" i="4"/>
  <c r="BB48" i="4" a="1"/>
  <c r="BB48" i="4"/>
  <c r="BB49" i="4"/>
  <c r="BA48" i="4" a="1"/>
  <c r="BA48" i="4"/>
  <c r="BA49" i="4"/>
  <c r="AZ48" i="4" a="1"/>
  <c r="AZ48" i="4"/>
  <c r="AZ49" i="4"/>
  <c r="AY48" i="4" a="1"/>
  <c r="AY48" i="4"/>
  <c r="AY49" i="4"/>
  <c r="AX48" i="4" a="1"/>
  <c r="AX48" i="4"/>
  <c r="AX49" i="4"/>
  <c r="AW48" i="4" a="1"/>
  <c r="AW48" i="4"/>
  <c r="AW49" i="4"/>
  <c r="AV48" i="4" a="1"/>
  <c r="AV48" i="4"/>
  <c r="AV49" i="4"/>
  <c r="AU48" i="4" a="1"/>
  <c r="AU48" i="4"/>
  <c r="AU49" i="4"/>
  <c r="AT48" i="4" a="1"/>
  <c r="AT48" i="4"/>
  <c r="AT49" i="4"/>
  <c r="AS48" i="4" a="1"/>
  <c r="AS48" i="4"/>
  <c r="AS49" i="4"/>
  <c r="AR48" i="4" a="1"/>
  <c r="AR48" i="4"/>
  <c r="AR49" i="4"/>
  <c r="AQ48" i="4" a="1"/>
  <c r="AQ48" i="4"/>
  <c r="AQ49" i="4"/>
  <c r="AP48" i="4" a="1"/>
  <c r="AP48" i="4"/>
  <c r="AP49" i="4"/>
  <c r="AO48" i="4" a="1"/>
  <c r="AO48" i="4"/>
  <c r="AO49" i="4"/>
  <c r="AN48" i="4" a="1"/>
  <c r="AN48" i="4"/>
  <c r="AN49" i="4"/>
  <c r="AM48" i="4" a="1"/>
  <c r="AM48" i="4"/>
  <c r="AM49" i="4"/>
  <c r="AL48" i="4" a="1"/>
  <c r="AL48" i="4"/>
  <c r="AL49" i="4"/>
  <c r="AK48" i="4" a="1"/>
  <c r="AK48" i="4"/>
  <c r="AK49" i="4"/>
  <c r="AJ48" i="4" a="1"/>
  <c r="AJ48" i="4"/>
  <c r="AJ49" i="4"/>
  <c r="AI48" i="4" a="1"/>
  <c r="AI48" i="4"/>
  <c r="AI49" i="4"/>
  <c r="AH48" i="4" a="1"/>
  <c r="AH48" i="4"/>
  <c r="AH49" i="4"/>
  <c r="AG48" i="4" a="1"/>
  <c r="AG48" i="4"/>
  <c r="AG49" i="4"/>
  <c r="AF48" i="4" a="1"/>
  <c r="AF48" i="4"/>
  <c r="AF49" i="4"/>
  <c r="AE48" i="4" a="1"/>
  <c r="AE48" i="4"/>
  <c r="AE49" i="4"/>
  <c r="AD48" i="4" a="1"/>
  <c r="AD48" i="4"/>
  <c r="AD49" i="4"/>
  <c r="AC48" i="4" a="1"/>
  <c r="AC48" i="4"/>
  <c r="AC49" i="4"/>
  <c r="AB48" i="4" a="1"/>
  <c r="AB48" i="4"/>
  <c r="AB49" i="4"/>
  <c r="AA48" i="4" a="1"/>
  <c r="AA48" i="4"/>
  <c r="AA49" i="4"/>
  <c r="Z48" i="4" a="1"/>
  <c r="Z48" i="4"/>
  <c r="Z49" i="4"/>
  <c r="Y48" i="4" a="1"/>
  <c r="Y48" i="4"/>
  <c r="Y49" i="4"/>
  <c r="X48" i="4" a="1"/>
  <c r="X48" i="4"/>
  <c r="X49" i="4"/>
  <c r="W48" i="4" a="1"/>
  <c r="W48" i="4"/>
  <c r="W49" i="4"/>
  <c r="V48" i="4" a="1"/>
  <c r="V48" i="4"/>
  <c r="V49" i="4"/>
  <c r="U48" i="4" a="1"/>
  <c r="U48" i="4"/>
  <c r="U49" i="4"/>
  <c r="T48" i="4" a="1"/>
  <c r="T48" i="4"/>
  <c r="T49" i="4"/>
  <c r="S48" i="4" a="1"/>
  <c r="S48" i="4"/>
  <c r="S49" i="4"/>
  <c r="R48" i="4" a="1"/>
  <c r="R48" i="4"/>
  <c r="R49" i="4"/>
  <c r="Q48" i="4" a="1"/>
  <c r="Q48" i="4"/>
  <c r="Q49" i="4"/>
  <c r="P48" i="4" a="1"/>
  <c r="P48" i="4"/>
  <c r="P49" i="4"/>
  <c r="O48" i="4" a="1"/>
  <c r="O48" i="4"/>
  <c r="O49" i="4"/>
  <c r="N48" i="4" a="1"/>
  <c r="N48" i="4"/>
  <c r="N49" i="4"/>
  <c r="M48" i="4" a="1"/>
  <c r="M48" i="4"/>
  <c r="M49" i="4"/>
  <c r="L48" i="4" a="1"/>
  <c r="L48" i="4"/>
  <c r="L49" i="4"/>
  <c r="K48" i="4" a="1"/>
  <c r="K48" i="4"/>
  <c r="K49" i="4"/>
  <c r="J48" i="4" a="1"/>
  <c r="J48" i="4"/>
  <c r="J49" i="4"/>
  <c r="I48" i="4" a="1"/>
  <c r="I48" i="4"/>
  <c r="E48" i="4" a="1"/>
  <c r="E48" i="4"/>
  <c r="E49" i="4"/>
  <c r="F48" i="4" a="1"/>
  <c r="F48" i="4"/>
  <c r="F49" i="4"/>
  <c r="G48" i="4" a="1"/>
  <c r="G48" i="4"/>
  <c r="G49" i="4"/>
  <c r="H48" i="4" a="1"/>
  <c r="H48" i="4"/>
  <c r="H49" i="4"/>
  <c r="I49" i="4"/>
  <c r="BG48" i="4"/>
  <c r="BF46" i="4" a="1"/>
  <c r="BF46" i="4"/>
  <c r="BF47" i="4"/>
  <c r="BE46" i="4" a="1"/>
  <c r="BE46" i="4"/>
  <c r="BE47" i="4"/>
  <c r="BD46" i="4" a="1"/>
  <c r="BD46" i="4"/>
  <c r="BD47" i="4"/>
  <c r="BC46" i="4" a="1"/>
  <c r="BC46" i="4"/>
  <c r="BC47" i="4"/>
  <c r="BB46" i="4" a="1"/>
  <c r="BB46" i="4"/>
  <c r="BB47" i="4"/>
  <c r="BA46" i="4" a="1"/>
  <c r="BA46" i="4"/>
  <c r="BA47" i="4"/>
  <c r="AZ46" i="4" a="1"/>
  <c r="AZ46" i="4"/>
  <c r="AZ47" i="4"/>
  <c r="AY46" i="4" a="1"/>
  <c r="AY46" i="4"/>
  <c r="AY47" i="4"/>
  <c r="AX46" i="4" a="1"/>
  <c r="AX46" i="4"/>
  <c r="AX47" i="4"/>
  <c r="AW46" i="4" a="1"/>
  <c r="AW46" i="4"/>
  <c r="AW47" i="4"/>
  <c r="AV46" i="4" a="1"/>
  <c r="AV46" i="4"/>
  <c r="AV47" i="4"/>
  <c r="AU46" i="4" a="1"/>
  <c r="AU46" i="4"/>
  <c r="AU47" i="4"/>
  <c r="AT46" i="4" a="1"/>
  <c r="AT46" i="4"/>
  <c r="AT47" i="4"/>
  <c r="AS46" i="4" a="1"/>
  <c r="AS46" i="4"/>
  <c r="AS47" i="4"/>
  <c r="AR46" i="4" a="1"/>
  <c r="AR46" i="4"/>
  <c r="AR47" i="4"/>
  <c r="AQ46" i="4" a="1"/>
  <c r="AQ46" i="4"/>
  <c r="AQ47" i="4"/>
  <c r="AP46" i="4" a="1"/>
  <c r="AP46" i="4"/>
  <c r="AP47" i="4"/>
  <c r="AO46" i="4" a="1"/>
  <c r="AO46" i="4"/>
  <c r="AO47" i="4"/>
  <c r="AN46" i="4" a="1"/>
  <c r="AN46" i="4"/>
  <c r="AN47" i="4"/>
  <c r="AM46" i="4" a="1"/>
  <c r="AM46" i="4"/>
  <c r="AM47" i="4"/>
  <c r="AL46" i="4" a="1"/>
  <c r="AL46" i="4"/>
  <c r="AL47" i="4"/>
  <c r="AK46" i="4" a="1"/>
  <c r="AK46" i="4"/>
  <c r="AK47" i="4"/>
  <c r="AJ46" i="4" a="1"/>
  <c r="AJ46" i="4"/>
  <c r="AJ47" i="4"/>
  <c r="AI46" i="4" a="1"/>
  <c r="AI46" i="4"/>
  <c r="AI47" i="4"/>
  <c r="AH46" i="4" a="1"/>
  <c r="AH46" i="4"/>
  <c r="AH47" i="4"/>
  <c r="AG46" i="4" a="1"/>
  <c r="AG46" i="4"/>
  <c r="AG47" i="4"/>
  <c r="AF46" i="4" a="1"/>
  <c r="AF46" i="4"/>
  <c r="AF47" i="4"/>
  <c r="AE46" i="4" a="1"/>
  <c r="AE46" i="4"/>
  <c r="AE47" i="4"/>
  <c r="AD46" i="4" a="1"/>
  <c r="AD46" i="4"/>
  <c r="AD47" i="4"/>
  <c r="AC46" i="4" a="1"/>
  <c r="AC46" i="4"/>
  <c r="AC47" i="4"/>
  <c r="AB46" i="4" a="1"/>
  <c r="AB46" i="4"/>
  <c r="AB47" i="4"/>
  <c r="AA46" i="4" a="1"/>
  <c r="AA46" i="4"/>
  <c r="AA47" i="4"/>
  <c r="Z46" i="4" a="1"/>
  <c r="Z46" i="4"/>
  <c r="Z47" i="4"/>
  <c r="Y46" i="4" a="1"/>
  <c r="Y46" i="4"/>
  <c r="Y47" i="4"/>
  <c r="X46" i="4" a="1"/>
  <c r="X46" i="4"/>
  <c r="X47" i="4"/>
  <c r="W46" i="4" a="1"/>
  <c r="W46" i="4"/>
  <c r="W47" i="4"/>
  <c r="V46" i="4" a="1"/>
  <c r="V46" i="4"/>
  <c r="V47" i="4"/>
  <c r="U46" i="4" a="1"/>
  <c r="U46" i="4"/>
  <c r="U47" i="4"/>
  <c r="T46" i="4" a="1"/>
  <c r="T46" i="4"/>
  <c r="T47" i="4"/>
  <c r="S46" i="4" a="1"/>
  <c r="S46" i="4"/>
  <c r="S47" i="4"/>
  <c r="R46" i="4" a="1"/>
  <c r="R46" i="4"/>
  <c r="R47" i="4"/>
  <c r="Q46" i="4" a="1"/>
  <c r="Q46" i="4"/>
  <c r="Q47" i="4"/>
  <c r="P46" i="4" a="1"/>
  <c r="P46" i="4"/>
  <c r="P47" i="4"/>
  <c r="O46" i="4" a="1"/>
  <c r="O46" i="4"/>
  <c r="O47" i="4"/>
  <c r="N46" i="4" a="1"/>
  <c r="N46" i="4"/>
  <c r="N47" i="4"/>
  <c r="M46" i="4" a="1"/>
  <c r="M46" i="4"/>
  <c r="M47" i="4"/>
  <c r="L46" i="4" a="1"/>
  <c r="L46" i="4"/>
  <c r="L47" i="4"/>
  <c r="K46" i="4" a="1"/>
  <c r="K46" i="4"/>
  <c r="K47" i="4"/>
  <c r="J46" i="4" a="1"/>
  <c r="J46" i="4"/>
  <c r="J47" i="4"/>
  <c r="I46" i="4" a="1"/>
  <c r="I46" i="4"/>
  <c r="E46" i="4" a="1"/>
  <c r="E46" i="4"/>
  <c r="E47" i="4"/>
  <c r="F46" i="4" a="1"/>
  <c r="F46" i="4"/>
  <c r="F47" i="4"/>
  <c r="G46" i="4" a="1"/>
  <c r="G46" i="4"/>
  <c r="G47" i="4"/>
  <c r="H46" i="4" a="1"/>
  <c r="H46" i="4"/>
  <c r="H47" i="4"/>
  <c r="I47" i="4"/>
  <c r="BG46" i="4"/>
  <c r="BG45" i="4"/>
  <c r="BG44" i="4"/>
  <c r="BG43" i="4"/>
  <c r="BG42" i="4"/>
  <c r="BG41" i="4"/>
  <c r="BG40" i="4"/>
  <c r="BG39" i="4"/>
  <c r="BG38" i="4"/>
  <c r="BG37" i="4"/>
  <c r="BG36" i="4"/>
  <c r="BG35" i="4"/>
  <c r="BG34" i="4"/>
  <c r="BG33" i="4"/>
  <c r="BG32" i="4"/>
  <c r="BG31" i="4"/>
  <c r="BG30" i="4"/>
  <c r="BG29" i="4"/>
  <c r="BG28" i="4"/>
  <c r="BG27" i="4"/>
  <c r="BG26" i="4"/>
  <c r="BG25" i="4"/>
  <c r="BG24" i="4"/>
  <c r="BG23" i="4"/>
  <c r="BG22" i="4"/>
  <c r="BG21" i="4"/>
  <c r="BG20" i="4"/>
  <c r="BG19" i="4"/>
  <c r="BG18" i="4"/>
  <c r="BG17" i="4"/>
  <c r="BG16" i="4"/>
  <c r="BG15" i="4"/>
  <c r="BG14" i="4"/>
  <c r="BG13" i="4"/>
  <c r="BG12" i="4"/>
  <c r="BG11" i="4"/>
  <c r="BG10" i="4"/>
  <c r="BG9" i="4"/>
  <c r="BG8" i="4"/>
  <c r="BG7" i="4"/>
  <c r="BG6" i="4"/>
  <c r="E5" i="4"/>
  <c r="F5" i="4"/>
  <c r="G5" i="4"/>
  <c r="H5" i="4"/>
  <c r="I5" i="4"/>
  <c r="J5" i="4"/>
  <c r="K5" i="4"/>
  <c r="L5" i="4"/>
  <c r="M5" i="4"/>
  <c r="N5" i="4"/>
  <c r="O5" i="4"/>
  <c r="P5" i="4"/>
  <c r="Q5" i="4"/>
  <c r="R5" i="4"/>
  <c r="S5" i="4"/>
  <c r="T5" i="4"/>
  <c r="U5" i="4"/>
  <c r="V5" i="4"/>
  <c r="W5" i="4"/>
  <c r="X5" i="4"/>
  <c r="Y5" i="4"/>
  <c r="Z5" i="4"/>
  <c r="AA5" i="4"/>
  <c r="AB5" i="4"/>
  <c r="AC5" i="4"/>
  <c r="AD5" i="4"/>
  <c r="AE5" i="4"/>
  <c r="AF5" i="4"/>
  <c r="AG5" i="4"/>
  <c r="AH5" i="4"/>
  <c r="AI5" i="4"/>
  <c r="AJ5" i="4"/>
  <c r="AK5" i="4"/>
  <c r="AL5" i="4"/>
  <c r="AM5" i="4"/>
  <c r="AN5" i="4"/>
  <c r="AO5" i="4"/>
  <c r="AP5" i="4"/>
  <c r="AQ5" i="4"/>
  <c r="AR5" i="4"/>
  <c r="AS5" i="4"/>
  <c r="AT5" i="4"/>
  <c r="AU5" i="4"/>
  <c r="AV5" i="4"/>
  <c r="AW5" i="4"/>
  <c r="AX5" i="4"/>
  <c r="AY5" i="4"/>
  <c r="AZ5" i="4"/>
  <c r="BA5" i="4"/>
  <c r="BB5" i="4"/>
  <c r="BC5" i="4"/>
  <c r="BD5" i="4"/>
  <c r="BE5" i="4"/>
  <c r="BF5" i="4"/>
  <c r="E48" i="1" a="1"/>
  <c r="E48" i="1"/>
  <c r="I48" i="1" a="1"/>
  <c r="I48" i="1"/>
  <c r="F48" i="1" a="1"/>
  <c r="F48" i="1"/>
  <c r="G48" i="1" a="1"/>
  <c r="G48" i="1"/>
  <c r="H48" i="1" a="1"/>
  <c r="J48" i="1" a="1"/>
  <c r="K48" i="1" a="1"/>
  <c r="L48" i="1" a="1"/>
  <c r="M48" i="1" a="1"/>
  <c r="N48" i="1" a="1"/>
  <c r="O48" i="1" a="1"/>
  <c r="P48" i="1" a="1"/>
  <c r="Q48" i="1" a="1"/>
  <c r="H48" i="1"/>
  <c r="J48" i="1"/>
  <c r="K48" i="1"/>
  <c r="L48" i="1"/>
  <c r="M48" i="1"/>
  <c r="N48" i="1"/>
  <c r="O48" i="1"/>
  <c r="P48" i="1"/>
  <c r="Q48" i="1"/>
  <c r="R48" i="1"/>
  <c r="E46" i="1" a="1"/>
  <c r="E46" i="1"/>
  <c r="I46" i="1" a="1"/>
  <c r="I46" i="1"/>
  <c r="F46" i="1" a="1"/>
  <c r="F46" i="1"/>
  <c r="G46" i="1" a="1"/>
  <c r="G46" i="1"/>
  <c r="H46" i="1" a="1"/>
  <c r="J46" i="1" a="1"/>
  <c r="K46" i="1" a="1"/>
  <c r="L46" i="1" a="1"/>
  <c r="M46" i="1" a="1"/>
  <c r="N46" i="1" a="1"/>
  <c r="O46" i="1" a="1"/>
  <c r="P46" i="1" a="1"/>
  <c r="Q46" i="1" a="1"/>
  <c r="H46" i="1"/>
  <c r="J46" i="1"/>
  <c r="K46" i="1"/>
  <c r="L46" i="1"/>
  <c r="M46" i="1"/>
  <c r="N46" i="1"/>
  <c r="O46" i="1"/>
  <c r="P46" i="1"/>
  <c r="Q46" i="1"/>
  <c r="R46" i="1"/>
  <c r="E5" i="1"/>
  <c r="F5" i="1"/>
  <c r="J47" i="1"/>
  <c r="R28" i="1"/>
  <c r="R29" i="1"/>
  <c r="R30" i="1"/>
  <c r="R31" i="1"/>
  <c r="R10" i="1"/>
  <c r="R11" i="1"/>
  <c r="R12" i="1"/>
  <c r="R13" i="1"/>
  <c r="R14" i="1"/>
  <c r="R15" i="1"/>
  <c r="R16" i="1"/>
  <c r="R17" i="1"/>
  <c r="R18" i="1"/>
  <c r="R19" i="1"/>
  <c r="R20" i="1"/>
  <c r="R21" i="1"/>
  <c r="R22" i="1"/>
  <c r="R23" i="1"/>
  <c r="R24" i="1"/>
  <c r="R25" i="1"/>
  <c r="R26" i="1"/>
  <c r="R27" i="1"/>
  <c r="E49" i="1"/>
  <c r="G5" i="1"/>
  <c r="H5" i="1"/>
  <c r="I5" i="1"/>
  <c r="J5" i="1"/>
  <c r="K5" i="1"/>
  <c r="L5" i="1"/>
  <c r="M5" i="1"/>
  <c r="N5" i="1"/>
  <c r="O5" i="1"/>
  <c r="P5" i="1"/>
  <c r="Q5" i="1"/>
  <c r="E47" i="1"/>
  <c r="R32" i="1"/>
  <c r="R33" i="1"/>
  <c r="R34" i="1"/>
  <c r="R35" i="1"/>
  <c r="R36" i="1"/>
  <c r="R37" i="1"/>
  <c r="R38" i="1"/>
  <c r="R39" i="1"/>
  <c r="R40" i="1"/>
  <c r="R41" i="1"/>
  <c r="R42" i="1"/>
  <c r="R43" i="1"/>
  <c r="R44" i="1"/>
  <c r="R45" i="1"/>
  <c r="R6" i="1"/>
  <c r="F47" i="1"/>
  <c r="G47" i="1"/>
  <c r="F49" i="1"/>
  <c r="R9" i="1"/>
  <c r="R8" i="1"/>
  <c r="R7" i="1"/>
  <c r="H47" i="1"/>
  <c r="I47" i="1"/>
  <c r="G49" i="1"/>
  <c r="H49" i="1"/>
  <c r="I49" i="1"/>
  <c r="J49" i="1"/>
  <c r="K47" i="1"/>
  <c r="K49" i="1"/>
  <c r="L49" i="1"/>
  <c r="L47" i="1"/>
  <c r="M47" i="1"/>
  <c r="N47" i="1"/>
  <c r="O47" i="1"/>
  <c r="P47" i="1"/>
  <c r="M49" i="1"/>
  <c r="Q47" i="1"/>
  <c r="N49" i="1"/>
  <c r="O49" i="1"/>
  <c r="P49" i="1"/>
  <c r="Q4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<sst xmlns="http://schemas.openxmlformats.org/spreadsheetml/2006/main" count="168" uniqueCount="28">
  <si>
    <t>Total</t>
  </si>
  <si>
    <t>Type</t>
  </si>
  <si>
    <t>Budgeted</t>
  </si>
  <si>
    <t>Actual</t>
  </si>
  <si>
    <t xml:space="preserve">[ expense name] </t>
  </si>
  <si>
    <t>Total Budget</t>
  </si>
  <si>
    <t>Total Actual Cost</t>
  </si>
  <si>
    <t>Expenses</t>
  </si>
  <si>
    <t>Start Date:</t>
  </si>
  <si>
    <t xml:space="preserve"> #</t>
  </si>
  <si>
    <t>Cumulative Budget</t>
  </si>
  <si>
    <t>Cumulative Cost</t>
  </si>
  <si>
    <t>versus Actual Cost</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</si>
  <si>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</si>
  <si>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</si>
  <si>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</si>
  <si>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</si>
  <si>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</si>
  <si>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Budget vs Actual Template</t>
  </si>
  <si>
    <t>Budget Name:</t>
  </si>
  <si>
    <t>Do not delete this worksheet.</t>
  </si>
  <si>
    <t>◄ Insert more expenses by inserting more rows (two at a time)</t>
  </si>
  <si>
    <t>◄ Drag and copy two rows from above to copy the formulas and formatting to your new rows</t>
  </si>
  <si>
    <t>◄ Insert more columns to have more dates. You can also overwrite the dates and change them to weeks or days as you prefer.</t>
  </si>
  <si>
    <t>◄ Drag and copy across an existing column to ensure the formulas and formatting stay the same.</t>
  </si>
  <si>
    <t>Project Budget - Weekly</t>
  </si>
  <si>
    <t>Project Budget - Monthly</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</si>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</sst>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_(* &quot;$&quot;* #,##0.00_);_(* \(#,##0.00\);_(* &quot;-&quot;_);_(@_)"/>
    <numFmt numFmtId="166" formatCode="d\ mmm\ yy"/>
  </numFmts>
  <fonts count="19" x14ac:knownFonts="1">
    <font>
      <sz val="11"/>
      <color theme="1"/>
      <name val="Calibri"/>
      <family val="2"/>
      <scheme val="minor"/>
    </font>
    <font>
      <sz val="11"/>
      <color theme="1"/>
      <name val="Arial"/>
      <family val="2"/>
    </font>
    <font>
      <b/>
      <sz val="12"/>
      <color indexed="9"/>
      <name val="Arial"/>
      <family val="2"/>
    </font>
    <font>
      <sz val="11"/>
      <color theme="0"/>
      <name val="Arial"/>
      <family val="2"/>
    </font>
    <font>
      <b/>
      <sz val="11"/>
      <color theme="0"/>
      <name val="Arial"/>
      <family val="2"/>
    </font>
    <font>
      <i/>
      <sz val="20"/>
      <color theme="3"/>
      <name val="Arial"/>
      <family val="2"/>
    </font>
    <font>
      <b/>
      <sz val="11"/>
      <color theme="1" tint="0.249977111117893"/>
      <name val="Arial"/>
      <family val="2"/>
    </font>
    <font>
      <sz val="11"/>
      <color theme="1" tint="0.249977111117893"/>
      <name val="Arial"/>
      <family val="2"/>
    </font>
    <font>
      <sz val="11"/>
      <name val="Arial"/>
      <family val="2"/>
    </font>
    <font>
      <b/>
      <sz val="11"/>
      <name val="Arial"/>
      <family val="2"/>
    </font>
    <font>
      <i/>
      <sz val="20"/>
      <color theme="0"/>
      <name val="Arial"/>
      <family val="2"/>
    </font>
    <font>
      <b/>
      <sz val="16"/>
      <color theme="0"/>
      <name val="Arial"/>
      <family val="2"/>
    </font>
    <font>
      <sz val="12"/>
      <color theme="1"/>
      <name val="Arial"/>
      <family val="2"/>
    </font>
    <font>
      <b/>
      <sz val="12"/>
      <color theme="1"/>
      <name val="Arial"/>
      <family val="2"/>
    </font>
    <font>
      <i/>
      <sz val="14"/>
      <color theme="1"/>
      <name val="Arial"/>
      <family val="2"/>
    </font>
    <font>
      <sz val="12"/>
      <color theme="0"/>
      <name val="Arial"/>
      <family val="2"/>
    </font>
    <font>
      <i/>
      <sz val="22"/>
      <color theme="0"/>
      <name val="Arial"/>
      <family val="2"/>
    </font>
    <font>
      <i/>
      <sz val="11"/>
      <color theme="1"/>
      <name val="Arial"/>
      <family val="2"/>
    </font>
    <font>
      <sz val="11"/>
      <color theme="1"/>
      <name val="Calibri"/>
      <family val="2"/>
    </font>
  </fonts>
  <fills count="8">
    <fill>
      <patternFill patternType="none"/>
    </fill>
    <fill>
      <patternFill patternType="gray125"/>
    </fill>
    <fill>
      <patternFill patternType="solid">
        <fgColor theme="3"/>
        <bgColor indexed="64"/>
      </patternFill>
    </fill>
    <fill>
      <patternFill patternType="solid">
        <fgColor theme="7" tint="0.79998168889431442"/>
        <bgColor indexed="64"/>
      </patternFill>
    </fill>
    <fill>
      <patternFill patternType="solid">
        <fgColor theme="0"/>
        <bgColor indexed="64"/>
      </patternFill>
    </fill>
    <fill>
      <patternFill patternType="solid">
        <fgColor rgb="FF8FB9AB"/>
        <bgColor indexed="64"/>
      </patternFill>
    </fill>
    <fill>
      <patternFill patternType="solid">
        <fgColor rgb="FFFDDBB1"/>
        <bgColor indexed="64"/>
      </patternFill>
    </fill>
    <fill>
      <patternFill patternType="solid">
        <fgColor rgb="FFEDF0F3"/>
        <bgColor indexed="64"/>
      </patternFill>
    </fill>
  </fills>
  <borders count="38">
    <border>
      <left/>
      <right/>
      <top/>
      <bottom/>
      <diagonal/>
    </border>
    <border>
      <left/>
      <right/>
      <top/>
      <bottom style="thin">
        <color indexed="55"/>
      </bottom>
      <diagonal/>
    </border>
    <border>
      <left/>
      <right/>
      <top style="thin">
        <color indexed="55"/>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thin">
        <color theme="0" tint="-0.34998626667073579"/>
      </bottom>
      <diagonal/>
    </border>
    <border>
      <left/>
      <right style="medium">
        <color indexed="64"/>
      </right>
      <top/>
      <bottom style="thin">
        <color theme="0" tint="-0.34998626667073579"/>
      </bottom>
      <diagonal/>
    </border>
    <border>
      <left/>
      <right/>
      <top style="thin">
        <color theme="0" tint="-0.34998626667073579"/>
      </top>
      <bottom/>
      <diagonal/>
    </border>
    <border>
      <left/>
      <right style="medium">
        <color indexed="64"/>
      </right>
      <top style="medium">
        <color indexed="64"/>
      </top>
      <bottom style="dotted">
        <color theme="0" tint="-0.34998626667073579"/>
      </bottom>
      <diagonal/>
    </border>
    <border>
      <left style="medium">
        <color indexed="64"/>
      </left>
      <right style="thin">
        <color indexed="55"/>
      </right>
      <top style="medium">
        <color indexed="64"/>
      </top>
      <bottom style="dotted">
        <color theme="0" tint="-0.34998626667073579"/>
      </bottom>
      <diagonal/>
    </border>
    <border>
      <left style="thin">
        <color indexed="55"/>
      </left>
      <right style="thin">
        <color indexed="55"/>
      </right>
      <top style="medium">
        <color indexed="64"/>
      </top>
      <bottom style="dotted">
        <color theme="0" tint="-0.34998626667073579"/>
      </bottom>
      <diagonal/>
    </border>
    <border>
      <left style="thin">
        <color indexed="55"/>
      </left>
      <right style="medium">
        <color indexed="64"/>
      </right>
      <top style="medium">
        <color indexed="64"/>
      </top>
      <bottom style="dotted">
        <color theme="0" tint="-0.34998626667073579"/>
      </bottom>
      <diagonal/>
    </border>
    <border>
      <left/>
      <right style="medium">
        <color indexed="64"/>
      </right>
      <top style="thin">
        <color theme="0" tint="-0.34998626667073579"/>
      </top>
      <bottom style="dotted">
        <color theme="0" tint="-0.34998626667073579"/>
      </bottom>
      <diagonal/>
    </border>
    <border>
      <left style="medium">
        <color indexed="64"/>
      </left>
      <right style="thin">
        <color indexed="55"/>
      </right>
      <top style="thin">
        <color theme="0" tint="-0.34998626667073579"/>
      </top>
      <bottom style="dotted">
        <color theme="0" tint="-0.34998626667073579"/>
      </bottom>
      <diagonal/>
    </border>
    <border>
      <left style="thin">
        <color indexed="55"/>
      </left>
      <right style="thin">
        <color indexed="55"/>
      </right>
      <top style="thin">
        <color theme="0" tint="-0.34998626667073579"/>
      </top>
      <bottom style="dotted">
        <color theme="0" tint="-0.34998626667073579"/>
      </bottom>
      <diagonal/>
    </border>
    <border>
      <left style="thin">
        <color indexed="55"/>
      </left>
      <right style="medium">
        <color indexed="64"/>
      </right>
      <top style="thin">
        <color theme="0" tint="-0.34998626667073579"/>
      </top>
      <bottom style="dotted">
        <color theme="0" tint="-0.34998626667073579"/>
      </bottom>
      <diagonal/>
    </border>
    <border>
      <left/>
      <right/>
      <top style="thin">
        <color theme="0" tint="-0.34998626667073579"/>
      </top>
      <bottom style="dotted">
        <color theme="0" tint="-0.34998626667073579"/>
      </bottom>
      <diagonal/>
    </border>
    <border>
      <left style="medium">
        <color indexed="64"/>
      </left>
      <right style="thin">
        <color theme="0" tint="-0.34998626667073579"/>
      </right>
      <top style="dotted">
        <color theme="0" tint="-0.34998626667073579"/>
      </top>
      <bottom style="thin">
        <color theme="0" tint="-0.34998626667073579"/>
      </bottom>
      <diagonal/>
    </border>
    <border>
      <left style="thin">
        <color theme="0" tint="-0.34998626667073579"/>
      </left>
      <right style="thin">
        <color theme="0" tint="-0.34998626667073579"/>
      </right>
      <top style="dotted">
        <color theme="0" tint="-0.34998626667073579"/>
      </top>
      <bottom style="thin">
        <color theme="0" tint="-0.34998626667073579"/>
      </bottom>
      <diagonal/>
    </border>
    <border>
      <left style="thin">
        <color theme="0" tint="-0.34998626667073579"/>
      </left>
      <right style="medium">
        <color indexed="64"/>
      </right>
      <top style="dotted">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medium">
        <color theme="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55"/>
      </left>
      <right/>
      <top style="medium">
        <color indexed="64"/>
      </top>
      <bottom style="dotted">
        <color theme="0" tint="-0.34998626667073579"/>
      </bottom>
      <diagonal/>
    </border>
    <border>
      <left style="thin">
        <color theme="0" tint="-0.34998626667073579"/>
      </left>
      <right/>
      <top style="dotted">
        <color theme="0" tint="-0.34998626667073579"/>
      </top>
      <bottom style="thin">
        <color theme="0" tint="-0.34998626667073579"/>
      </bottom>
      <diagonal/>
    </border>
    <border>
      <left style="thin">
        <color indexed="55"/>
      </left>
      <right/>
      <top style="thin">
        <color theme="0" tint="-0.34998626667073579"/>
      </top>
      <bottom style="dotted">
        <color theme="0" tint="-0.34998626667073579"/>
      </bottom>
      <diagonal/>
    </border>
  </borders>
  <cellStyleXfs count="1">
    <xf numFmtId="0" fontId="0" fillId="0" borderId="0"/>
  </cellStyleXfs>
  <cellXfs count="82">
    <xf numFmtId="0" fontId="0" fillId="0" borderId="0" xfId="0"/>
    <xf numFmtId="0" fontId="1" fillId="0" borderId="0" xfId="0" applyFont="1"/>
    <xf numFmtId="0" fontId="1" fillId="0" borderId="3" xfId="0" applyFont="1" applyBorder="1"/>
    <xf numFmtId="0" fontId="1" fillId="0" borderId="12" xfId="0" applyFont="1" applyBorder="1"/>
    <xf numFmtId="0" fontId="1" fillId="0" borderId="6" xfId="0" applyFont="1" applyBorder="1"/>
    <xf numFmtId="164" fontId="8" fillId="0" borderId="18" xfId="0" applyNumberFormat="1" applyFont="1" applyBorder="1" applyAlignment="1" applyProtection="1">
      <alignment vertical="center"/>
      <protection locked="0"/>
    </xf>
    <xf numFmtId="164" fontId="8" fillId="0" borderId="19" xfId="0" applyNumberFormat="1" applyFont="1" applyBorder="1" applyAlignment="1" applyProtection="1">
      <alignment vertical="center"/>
      <protection locked="0"/>
    </xf>
    <xf numFmtId="164" fontId="8" fillId="0" borderId="20" xfId="0" applyNumberFormat="1" applyFont="1" applyBorder="1" applyAlignment="1" applyProtection="1">
      <alignment vertical="center"/>
      <protection locked="0"/>
    </xf>
    <xf numFmtId="165" fontId="9" fillId="0" borderId="17" xfId="0" applyNumberFormat="1" applyFont="1" applyBorder="1" applyAlignment="1">
      <alignment vertical="center"/>
    </xf>
    <xf numFmtId="164" fontId="8" fillId="3" borderId="26" xfId="0" applyNumberFormat="1" applyFont="1" applyFill="1" applyBorder="1" applyAlignment="1" applyProtection="1">
      <alignment vertical="center"/>
      <protection locked="0"/>
    </xf>
    <xf numFmtId="164" fontId="8" fillId="3" borderId="27" xfId="0" applyNumberFormat="1" applyFont="1" applyFill="1" applyBorder="1" applyAlignment="1" applyProtection="1">
      <alignment vertical="center"/>
      <protection locked="0"/>
    </xf>
    <xf numFmtId="164" fontId="8" fillId="3" borderId="28" xfId="0" applyNumberFormat="1" applyFont="1" applyFill="1" applyBorder="1" applyAlignment="1" applyProtection="1">
      <alignment vertical="center"/>
      <protection locked="0"/>
    </xf>
    <xf numFmtId="165" fontId="9" fillId="3" borderId="15" xfId="0" applyNumberFormat="1" applyFont="1" applyFill="1" applyBorder="1" applyAlignment="1">
      <alignment vertical="center"/>
    </xf>
    <xf numFmtId="164" fontId="8" fillId="0" borderId="22" xfId="0" applyNumberFormat="1" applyFont="1" applyBorder="1" applyAlignment="1" applyProtection="1">
      <alignment vertical="center"/>
      <protection locked="0"/>
    </xf>
    <xf numFmtId="164" fontId="8" fillId="0" borderId="23" xfId="0" applyNumberFormat="1" applyFont="1" applyBorder="1" applyAlignment="1" applyProtection="1">
      <alignment vertical="center"/>
      <protection locked="0"/>
    </xf>
    <xf numFmtId="164" fontId="8" fillId="0" borderId="24" xfId="0" applyNumberFormat="1" applyFont="1" applyBorder="1" applyAlignment="1" applyProtection="1">
      <alignment vertical="center"/>
      <protection locked="0"/>
    </xf>
    <xf numFmtId="165" fontId="9" fillId="0" borderId="21" xfId="0" applyNumberFormat="1" applyFont="1" applyBorder="1" applyAlignment="1">
      <alignment vertical="center"/>
    </xf>
    <xf numFmtId="165" fontId="9" fillId="3" borderId="8" xfId="0" applyNumberFormat="1" applyFont="1" applyFill="1" applyBorder="1" applyAlignment="1">
      <alignment vertical="center"/>
    </xf>
    <xf numFmtId="0" fontId="3" fillId="0" borderId="4" xfId="0" applyFont="1" applyBorder="1" applyAlignment="1">
      <alignment horizontal="right" vertical="center"/>
    </xf>
    <xf numFmtId="0" fontId="3" fillId="0" borderId="0" xfId="0" applyFont="1" applyAlignment="1">
      <alignment horizontal="right" vertical="center"/>
    </xf>
    <xf numFmtId="0" fontId="3" fillId="0" borderId="7" xfId="0" applyFont="1" applyBorder="1" applyAlignment="1">
      <alignment horizontal="right" vertical="center"/>
    </xf>
    <xf numFmtId="0" fontId="4" fillId="5" borderId="9" xfId="0" applyFont="1" applyFill="1" applyBorder="1" applyAlignment="1">
      <alignment horizontal="left" vertical="center"/>
    </xf>
    <xf numFmtId="0" fontId="2" fillId="5" borderId="10" xfId="0" applyFont="1" applyFill="1" applyBorder="1" applyAlignment="1">
      <alignment horizontal="center" vertical="center"/>
    </xf>
    <xf numFmtId="17" fontId="2" fillId="5" borderId="10" xfId="0" applyNumberFormat="1" applyFont="1" applyFill="1" applyBorder="1" applyAlignment="1">
      <alignment horizontal="center" vertical="center"/>
    </xf>
    <xf numFmtId="0" fontId="2" fillId="5" borderId="11" xfId="0" applyFont="1" applyFill="1" applyBorder="1" applyAlignment="1">
      <alignment horizontal="center" vertical="center"/>
    </xf>
    <xf numFmtId="0" fontId="1" fillId="2" borderId="0" xfId="0" applyFont="1" applyFill="1"/>
    <xf numFmtId="0" fontId="5" fillId="2" borderId="0" xfId="0" applyFont="1" applyFill="1" applyAlignment="1">
      <alignment vertical="center"/>
    </xf>
    <xf numFmtId="0" fontId="3" fillId="2" borderId="0" xfId="0" applyFont="1" applyFill="1"/>
    <xf numFmtId="0" fontId="10" fillId="2" borderId="0" xfId="0" applyFont="1" applyFill="1" applyAlignment="1">
      <alignment vertical="center"/>
    </xf>
    <xf numFmtId="0" fontId="3" fillId="2" borderId="0" xfId="0" applyFont="1" applyFill="1" applyAlignment="1">
      <alignment horizontal="right"/>
    </xf>
    <xf numFmtId="0" fontId="4" fillId="2" borderId="0" xfId="0" applyFont="1" applyFill="1"/>
    <xf numFmtId="0" fontId="11" fillId="2" borderId="0" xfId="0" applyFont="1" applyFill="1" applyAlignment="1">
      <alignment vertical="center"/>
    </xf>
    <xf numFmtId="0" fontId="12" fillId="4" borderId="0" xfId="0" applyFont="1" applyFill="1" applyAlignment="1">
      <alignment vertical="center"/>
    </xf>
    <xf numFmtId="0" fontId="1" fillId="4" borderId="0" xfId="0" applyFont="1" applyFill="1" applyAlignment="1">
      <alignment vertical="center"/>
    </xf>
    <xf numFmtId="0" fontId="12" fillId="4" borderId="0" xfId="0" applyFont="1" applyFill="1" applyAlignment="1">
      <alignment vertical="center" wrapText="1"/>
    </xf>
    <xf numFmtId="0" fontId="14" fillId="4" borderId="30" xfId="0" applyFont="1" applyFill="1" applyBorder="1" applyAlignment="1">
      <alignment vertical="center"/>
    </xf>
    <xf numFmtId="0" fontId="8" fillId="0" borderId="17" xfId="0" applyFont="1" applyBorder="1" applyAlignment="1" applyProtection="1">
      <alignment horizontal="right" vertical="center" indent="1"/>
      <protection locked="0"/>
    </xf>
    <xf numFmtId="0" fontId="8" fillId="3" borderId="14" xfId="0" applyFont="1" applyFill="1" applyBorder="1" applyAlignment="1" applyProtection="1">
      <alignment horizontal="right" vertical="center" indent="1"/>
      <protection locked="0"/>
    </xf>
    <xf numFmtId="0" fontId="8" fillId="0" borderId="21" xfId="0" applyFont="1" applyBorder="1" applyAlignment="1" applyProtection="1">
      <alignment horizontal="right" vertical="center" indent="1"/>
      <protection locked="0"/>
    </xf>
    <xf numFmtId="0" fontId="8" fillId="0" borderId="25" xfId="0" applyFont="1" applyBorder="1" applyAlignment="1" applyProtection="1">
      <alignment horizontal="right" vertical="center" indent="1"/>
      <protection locked="0"/>
    </xf>
    <xf numFmtId="0" fontId="8" fillId="3" borderId="15" xfId="0" applyFont="1" applyFill="1" applyBorder="1" applyAlignment="1" applyProtection="1">
      <alignment horizontal="right" vertical="center" indent="1"/>
      <protection locked="0"/>
    </xf>
    <xf numFmtId="0" fontId="8" fillId="3" borderId="7" xfId="0" applyFont="1" applyFill="1" applyBorder="1" applyAlignment="1" applyProtection="1">
      <alignment horizontal="right" vertical="center" indent="1"/>
      <protection locked="0"/>
    </xf>
    <xf numFmtId="0" fontId="3" fillId="0" borderId="0" xfId="0" applyFont="1"/>
    <xf numFmtId="0" fontId="1" fillId="7" borderId="0" xfId="0" applyFont="1" applyFill="1"/>
    <xf numFmtId="165" fontId="6" fillId="0" borderId="4" xfId="0" applyNumberFormat="1" applyFont="1" applyBorder="1" applyAlignment="1">
      <alignment vertical="center"/>
    </xf>
    <xf numFmtId="165" fontId="6" fillId="0" borderId="5" xfId="0" applyNumberFormat="1" applyFont="1" applyBorder="1" applyAlignment="1">
      <alignment vertical="center"/>
    </xf>
    <xf numFmtId="165" fontId="6" fillId="0" borderId="0" xfId="0" applyNumberFormat="1" applyFont="1" applyAlignment="1">
      <alignment vertical="center"/>
    </xf>
    <xf numFmtId="165" fontId="6" fillId="0" borderId="13" xfId="0" applyNumberFormat="1" applyFont="1" applyBorder="1" applyAlignment="1">
      <alignment vertical="center"/>
    </xf>
    <xf numFmtId="165" fontId="6" fillId="6" borderId="0" xfId="0" applyNumberFormat="1" applyFont="1" applyFill="1" applyAlignment="1">
      <alignment vertical="center"/>
    </xf>
    <xf numFmtId="165" fontId="6" fillId="6" borderId="13" xfId="0" applyNumberFormat="1" applyFont="1" applyFill="1" applyBorder="1" applyAlignment="1">
      <alignment vertical="center"/>
    </xf>
    <xf numFmtId="165" fontId="6" fillId="6" borderId="7" xfId="0" applyNumberFormat="1" applyFont="1" applyFill="1" applyBorder="1" applyAlignment="1">
      <alignment vertical="center"/>
    </xf>
    <xf numFmtId="165" fontId="7" fillId="6" borderId="8" xfId="0" applyNumberFormat="1" applyFont="1" applyFill="1" applyBorder="1" applyAlignment="1">
      <alignment vertical="center"/>
    </xf>
    <xf numFmtId="0" fontId="6" fillId="0" borderId="4" xfId="0" applyFont="1" applyBorder="1" applyAlignment="1">
      <alignment horizontal="right" vertical="center"/>
    </xf>
    <xf numFmtId="0" fontId="6" fillId="0" borderId="0" xfId="0" applyFont="1" applyAlignment="1">
      <alignment horizontal="right" vertical="center"/>
    </xf>
    <xf numFmtId="0" fontId="6" fillId="0" borderId="7" xfId="0" applyFont="1" applyBorder="1" applyAlignment="1">
      <alignment horizontal="right" vertical="center"/>
    </xf>
    <xf numFmtId="0" fontId="4" fillId="2" borderId="0" xfId="0" applyFont="1" applyFill="1" applyAlignment="1">
      <alignment horizontal="right" vertical="center" indent="1"/>
    </xf>
    <xf numFmtId="15" fontId="17" fillId="4" borderId="29" xfId="0" applyNumberFormat="1" applyFont="1" applyFill="1" applyBorder="1" applyAlignment="1">
      <alignment horizontal="center" vertical="center"/>
    </xf>
    <xf numFmtId="0" fontId="18" fillId="0" borderId="0" xfId="0" applyFont="1" applyAlignment="1">
      <alignment horizontal="left" vertical="center" indent="1"/>
    </xf>
    <xf numFmtId="0" fontId="18" fillId="0" borderId="0" xfId="0" applyFont="1" applyAlignment="1">
      <alignment vertical="center"/>
    </xf>
    <xf numFmtId="166" fontId="17" fillId="4" borderId="29" xfId="0" applyNumberFormat="1" applyFont="1" applyFill="1" applyBorder="1" applyAlignment="1">
      <alignment horizontal="center" vertical="center"/>
    </xf>
    <xf numFmtId="0" fontId="7" fillId="4" borderId="31" xfId="0" applyFont="1" applyFill="1" applyBorder="1" applyAlignment="1">
      <alignment vertical="center"/>
    </xf>
    <xf numFmtId="0" fontId="7" fillId="4" borderId="32" xfId="0" applyFont="1" applyFill="1" applyBorder="1" applyAlignment="1">
      <alignment vertical="center"/>
    </xf>
    <xf numFmtId="0" fontId="7" fillId="2" borderId="34" xfId="0" applyFont="1" applyFill="1" applyBorder="1" applyAlignment="1">
      <alignment vertical="center"/>
    </xf>
    <xf numFmtId="0" fontId="7" fillId="2" borderId="0" xfId="0" applyFont="1" applyFill="1" applyAlignment="1">
      <alignment vertical="center"/>
    </xf>
    <xf numFmtId="166" fontId="2" fillId="5" borderId="10" xfId="0" applyNumberFormat="1" applyFont="1" applyFill="1" applyBorder="1" applyAlignment="1">
      <alignment horizontal="center" vertical="center"/>
    </xf>
    <xf numFmtId="164" fontId="8" fillId="0" borderId="35" xfId="0" applyNumberFormat="1" applyFont="1" applyBorder="1" applyAlignment="1" applyProtection="1">
      <alignment vertical="center"/>
      <protection locked="0"/>
    </xf>
    <xf numFmtId="164" fontId="8" fillId="3" borderId="36" xfId="0" applyNumberFormat="1" applyFont="1" applyFill="1" applyBorder="1" applyAlignment="1" applyProtection="1">
      <alignment vertical="center"/>
      <protection locked="0"/>
    </xf>
    <xf numFmtId="164" fontId="8" fillId="0" borderId="37" xfId="0" applyNumberFormat="1" applyFont="1" applyBorder="1" applyAlignment="1" applyProtection="1">
      <alignment vertical="center"/>
      <protection locked="0"/>
    </xf>
    <xf numFmtId="0" fontId="16" fillId="2" borderId="0" xfId="0" applyFont="1" applyFill="1" applyAlignment="1">
      <alignment vertical="center"/>
    </xf>
    <xf numFmtId="0" fontId="1" fillId="0" borderId="12" xfId="0" applyFont="1" applyBorder="1" applyAlignment="1">
      <alignment horizontal="center" vertical="center"/>
    </xf>
    <xf numFmtId="0" fontId="8" fillId="0" borderId="16" xfId="0" applyFont="1" applyBorder="1" applyAlignment="1" applyProtection="1">
      <alignment horizontal="right" vertical="center" wrapText="1" indent="1"/>
      <protection locked="0"/>
    </xf>
    <xf numFmtId="0" fontId="8" fillId="0" borderId="14" xfId="0" applyFont="1" applyBorder="1" applyAlignment="1" applyProtection="1">
      <alignment horizontal="right" vertical="center" wrapText="1" indent="1"/>
      <protection locked="0"/>
    </xf>
    <xf numFmtId="0" fontId="1" fillId="0" borderId="6" xfId="0" applyFont="1" applyBorder="1" applyAlignment="1">
      <alignment horizontal="center" vertical="center"/>
    </xf>
    <xf numFmtId="0" fontId="8" fillId="0" borderId="1" xfId="0" applyFont="1" applyBorder="1" applyAlignment="1" applyProtection="1">
      <alignment horizontal="right" vertical="center" wrapText="1" indent="1"/>
      <protection locked="0"/>
    </xf>
    <xf numFmtId="0" fontId="8" fillId="0" borderId="2" xfId="0" applyFont="1" applyBorder="1" applyAlignment="1" applyProtection="1">
      <alignment horizontal="right" vertical="center" wrapText="1" indent="1"/>
      <protection locked="0"/>
    </xf>
    <xf numFmtId="0" fontId="8" fillId="0" borderId="7" xfId="0" applyFont="1" applyBorder="1" applyAlignment="1" applyProtection="1">
      <alignment horizontal="right" vertical="center" wrapText="1" indent="1"/>
      <protection locked="0"/>
    </xf>
    <xf numFmtId="0" fontId="7" fillId="4" borderId="31" xfId="0" applyFont="1" applyFill="1" applyBorder="1" applyAlignment="1">
      <alignment horizontal="left" vertical="center" indent="1"/>
    </xf>
    <xf numFmtId="0" fontId="7" fillId="4" borderId="32" xfId="0" applyFont="1" applyFill="1" applyBorder="1" applyAlignment="1">
      <alignment horizontal="left" vertical="center" indent="1"/>
    </xf>
    <xf numFmtId="0" fontId="7" fillId="4" borderId="33" xfId="0" applyFont="1" applyFill="1" applyBorder="1" applyAlignment="1">
      <alignment horizontal="left" vertical="center" indent="1"/>
    </xf>
    <xf numFmtId="0" fontId="15" fillId="2" borderId="0" xfId="0" applyFont="1" applyFill="1" applyAlignment="1">
      <alignment horizontal="center" vertical="top"/>
    </xf>
    <xf numFmtId="0" fontId="8" fillId="0" borderId="4" xfId="0" applyFont="1" applyBorder="1" applyAlignment="1" applyProtection="1">
      <alignment horizontal="right" vertical="center" wrapText="1" indent="1"/>
      <protection locked="0"/>
    </xf>
    <xf numFmtId="0" fontId="1" fillId="0" borderId="3" xfId="0" applyFont="1" applyBorder="1" applyAlignment="1">
      <alignment horizontal="center" vertical="center"/>
    </xf>
  </cellXfs>
  <cellStyles count="1">
    <cellStyle name="Normal" xfId="0" builtinId="0"/>
  </cellStyles>
  <dxfs count="20">
    <dxf>
      <font>
        <color theme="0"/>
      </font>
      <fill>
        <patternFill patternType="none">
          <bgColor auto="1"/>
        </patternFill>
      </fill>
    </dxf>
    <dxf>
      <font>
        <color rgb="FFFDDBB1"/>
      </font>
      <fill>
        <patternFill patternType="solid">
          <bgColor rgb="FFFDDBB1"/>
        </patternFill>
      </fill>
    </dxf>
    <dxf>
      <font>
        <color rgb="FFC00000"/>
      </font>
    </dxf>
    <dxf>
      <font>
        <color theme="9" tint="-0.24994659260841701"/>
      </font>
    </dxf>
    <dxf>
      <font>
        <color rgb="FFC00000"/>
      </font>
    </dxf>
    <dxf>
      <font>
        <color theme="9" tint="-0.24994659260841701"/>
      </font>
    </dxf>
    <dxf>
      <font>
        <color rgb="FFC00000"/>
      </font>
    </dxf>
    <dxf>
      <font>
        <color theme="9" tint="-0.24994659260841701"/>
      </font>
    </dxf>
    <dxf>
      <font>
        <color rgb="FFC00000"/>
      </font>
    </dxf>
    <dxf>
      <font>
        <color theme="9" tint="-0.24994659260841701"/>
      </font>
    </dxf>
    <dxf>
      <font>
        <color theme="0"/>
      </font>
      <fill>
        <patternFill patternType="none">
          <bgColor auto="1"/>
        </patternFill>
      </fill>
    </dxf>
    <dxf>
      <font>
        <color rgb="FFFDDBB1"/>
      </font>
      <fill>
        <patternFill patternType="solid">
          <bgColor rgb="FFFDDBB1"/>
        </patternFill>
      </fill>
    </dxf>
    <dxf>
      <font>
        <color rgb="FFC00000"/>
      </font>
    </dxf>
    <dxf>
      <font>
        <color theme="9" tint="-0.24994659260841701"/>
      </font>
    </dxf>
    <dxf>
      <font>
        <color rgb="FFC00000"/>
      </font>
    </dxf>
    <dxf>
      <font>
        <color theme="9" tint="-0.24994659260841701"/>
      </font>
    </dxf>
    <dxf>
      <font>
        <color rgb="FFC00000"/>
      </font>
    </dxf>
    <dxf>
      <font>
        <color theme="9" tint="-0.24994659260841701"/>
      </font>
    </dxf>
    <dxf>
      <font>
        <color rgb="FFC00000"/>
      </font>
    </dxf>
    <dxf>
      <font>
        <color theme="9" tint="-0.24994659260841701"/>
      </font>
    </dxf>
  </dxfs>
  <tableStyles count="1" defaultTableStyle="TableStyleMedium2" defaultPivotStyle="PivotStyleLight16">
    <tableStyle name="Table Style 1" pivot="0" count="0" xr9:uid="{00000000-0011-0000-FFFF-FFFF00000000}"/>
  </tableStyles>
  <colors>
    <mruColors>
      <color rgb="FFEDF0F3"/>
      <color rgb="FFFDDBB1"/>
      <color rgb="FFE8EBF0"/>
      <color rgb="FFFFE699"/>
      <color rgb="FF6790B1"/>
      <color rgb="FF7387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Project Budget versus Actual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v>Actual Cost</c:v>
          </c:tx>
          <c:spPr>
            <a:ln w="28575" cap="rnd">
              <a:solidFill>
                <a:schemeClr val="accent6"/>
              </a:solidFill>
              <a:round/>
            </a:ln>
            <a:effectLst/>
          </c:spPr>
          <c:marker>
            <c:symbol val="diamond"/>
            <c:size val="6"/>
            <c:spPr>
              <a:solidFill>
                <a:schemeClr val="accent6"/>
              </a:solidFill>
              <a:ln w="9525">
                <a:noFill/>
              </a:ln>
              <a:effectLst/>
            </c:spPr>
          </c:marker>
          <c:cat>
            <c:numRef>
              <c:f>'Budget vs Actual Monthly - List'!$E$5:$Q$5</c:f>
              <c:numCache>
                <c:formatCode>mmm\-yy</c:formatCode>
                <c:ptCount val="13"/>
                <c:pt idx="0">
                  <c:v>45107</c:v>
                </c:pt>
                <c:pt idx="1">
                  <c:v>45137</c:v>
                </c:pt>
                <c:pt idx="2">
                  <c:v>45168</c:v>
                </c:pt>
                <c:pt idx="3">
                  <c:v>45199</c:v>
                </c:pt>
                <c:pt idx="4">
                  <c:v>45229</c:v>
                </c:pt>
                <c:pt idx="5">
                  <c:v>45260</c:v>
                </c:pt>
                <c:pt idx="6">
                  <c:v>45290</c:v>
                </c:pt>
                <c:pt idx="7">
                  <c:v>45321</c:v>
                </c:pt>
                <c:pt idx="8">
                  <c:v>45351</c:v>
                </c:pt>
                <c:pt idx="9">
                  <c:v>45380</c:v>
                </c:pt>
                <c:pt idx="10">
                  <c:v>45411</c:v>
                </c:pt>
                <c:pt idx="11">
                  <c:v>45441</c:v>
                </c:pt>
                <c:pt idx="12">
                  <c:v>45472</c:v>
                </c:pt>
              </c:numCache>
            </c:numRef>
          </c:cat>
          <c:val>
            <c:numRef>
              <c:f>'Budget vs Actual Monthly - List'!$E$49:$Q$49</c:f>
              <c:numCache>
                <c:formatCode>_(* "$"* #,##0.00_);_(* \(#,##0.00\);_(* "-"_);_(@_)</c:formatCode>
                <c:ptCount val="13"/>
                <c:pt idx="0">
                  <c:v>11</c:v>
                </c:pt>
                <c:pt idx="1">
                  <c:v>22</c:v>
                </c:pt>
                <c:pt idx="2">
                  <c:v>34</c:v>
                </c:pt>
                <c:pt idx="3">
                  <c:v>40</c:v>
                </c:pt>
                <c:pt idx="4">
                  <c:v>49</c:v>
                </c:pt>
                <c:pt idx="5">
                  <c:v>#N/A</c:v>
                </c:pt>
                <c:pt idx="6">
                  <c:v>#N/A</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0-F2A0-4E5D-9BE7-BCA5E9A0BD97}"/>
            </c:ext>
          </c:extLst>
        </c:ser>
        <c:ser>
          <c:idx val="0"/>
          <c:order val="1"/>
          <c:tx>
            <c:v>Budgeted</c:v>
          </c:tx>
          <c:spPr>
            <a:ln w="28575" cap="rnd">
              <a:solidFill>
                <a:schemeClr val="accent2"/>
              </a:solidFill>
              <a:round/>
            </a:ln>
            <a:effectLst/>
          </c:spPr>
          <c:marker>
            <c:symbol val="diamond"/>
            <c:size val="6"/>
            <c:spPr>
              <a:solidFill>
                <a:schemeClr val="accent2"/>
              </a:solidFill>
              <a:ln w="9525">
                <a:noFill/>
              </a:ln>
              <a:effectLst/>
            </c:spPr>
          </c:marker>
          <c:cat>
            <c:numRef>
              <c:f>'Budget vs Actual Monthly - List'!$E$5:$Q$5</c:f>
              <c:numCache>
                <c:formatCode>mmm\-yy</c:formatCode>
                <c:ptCount val="13"/>
                <c:pt idx="0">
                  <c:v>45107</c:v>
                </c:pt>
                <c:pt idx="1">
                  <c:v>45137</c:v>
                </c:pt>
                <c:pt idx="2">
                  <c:v>45168</c:v>
                </c:pt>
                <c:pt idx="3">
                  <c:v>45199</c:v>
                </c:pt>
                <c:pt idx="4">
                  <c:v>45229</c:v>
                </c:pt>
                <c:pt idx="5">
                  <c:v>45260</c:v>
                </c:pt>
                <c:pt idx="6">
                  <c:v>45290</c:v>
                </c:pt>
                <c:pt idx="7">
                  <c:v>45321</c:v>
                </c:pt>
                <c:pt idx="8">
                  <c:v>45351</c:v>
                </c:pt>
                <c:pt idx="9">
                  <c:v>45380</c:v>
                </c:pt>
                <c:pt idx="10">
                  <c:v>45411</c:v>
                </c:pt>
                <c:pt idx="11">
                  <c:v>45441</c:v>
                </c:pt>
                <c:pt idx="12">
                  <c:v>45472</c:v>
                </c:pt>
              </c:numCache>
            </c:numRef>
          </c:cat>
          <c:val>
            <c:numRef>
              <c:f>'Budget vs Actual Monthly - List'!$E$47:$Q$47</c:f>
              <c:numCache>
                <c:formatCode>_(* "$"* #,##0.00_);_(* \(#,##0.00\);_(* "-"_);_(@_)</c:formatCode>
                <c:ptCount val="13"/>
                <c:pt idx="0">
                  <c:v>11</c:v>
                </c:pt>
                <c:pt idx="1">
                  <c:v>17</c:v>
                </c:pt>
                <c:pt idx="2">
                  <c:v>26</c:v>
                </c:pt>
                <c:pt idx="3">
                  <c:v>30</c:v>
                </c:pt>
                <c:pt idx="4">
                  <c:v>40</c:v>
                </c:pt>
                <c:pt idx="5">
                  <c:v>#N/A</c:v>
                </c:pt>
                <c:pt idx="6">
                  <c:v>#N/A</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1-F2A0-4E5D-9BE7-BCA5E9A0BD97}"/>
            </c:ext>
          </c:extLst>
        </c:ser>
        <c:dLbls>
          <c:showLegendKey val="0"/>
          <c:showVal val="0"/>
          <c:showCatName val="0"/>
          <c:showSerName val="0"/>
          <c:showPercent val="0"/>
          <c:showBubbleSize val="0"/>
        </c:dLbls>
        <c:marker val="1"/>
        <c:smooth val="0"/>
        <c:axId val="190754856"/>
        <c:axId val="190755248"/>
      </c:lineChart>
      <c:dateAx>
        <c:axId val="19075485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55248"/>
        <c:crosses val="autoZero"/>
        <c:auto val="1"/>
        <c:lblOffset val="100"/>
        <c:baseTimeUnit val="months"/>
      </c:dateAx>
      <c:valAx>
        <c:axId val="190755248"/>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54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Project Budget versus Actual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v>Actual Cost</c:v>
          </c:tx>
          <c:spPr>
            <a:ln w="28575" cap="rnd">
              <a:solidFill>
                <a:schemeClr val="accent6"/>
              </a:solidFill>
              <a:round/>
            </a:ln>
            <a:effectLst/>
          </c:spPr>
          <c:marker>
            <c:symbol val="diamond"/>
            <c:size val="6"/>
            <c:spPr>
              <a:solidFill>
                <a:schemeClr val="accent6"/>
              </a:solidFill>
              <a:ln w="9525">
                <a:noFill/>
              </a:ln>
              <a:effectLst/>
            </c:spPr>
          </c:marker>
          <c:cat>
            <c:numRef>
              <c:f>'Budget vs Actual Monthly - List'!$E$5:$Q$5</c:f>
              <c:numCache>
                <c:formatCode>mmm\-yy</c:formatCode>
                <c:ptCount val="13"/>
                <c:pt idx="0">
                  <c:v>45107</c:v>
                </c:pt>
                <c:pt idx="1">
                  <c:v>45137</c:v>
                </c:pt>
                <c:pt idx="2">
                  <c:v>45168</c:v>
                </c:pt>
                <c:pt idx="3">
                  <c:v>45199</c:v>
                </c:pt>
                <c:pt idx="4">
                  <c:v>45229</c:v>
                </c:pt>
                <c:pt idx="5">
                  <c:v>45260</c:v>
                </c:pt>
                <c:pt idx="6">
                  <c:v>45290</c:v>
                </c:pt>
                <c:pt idx="7">
                  <c:v>45321</c:v>
                </c:pt>
                <c:pt idx="8">
                  <c:v>45351</c:v>
                </c:pt>
                <c:pt idx="9">
                  <c:v>45380</c:v>
                </c:pt>
                <c:pt idx="10">
                  <c:v>45411</c:v>
                </c:pt>
                <c:pt idx="11">
                  <c:v>45441</c:v>
                </c:pt>
                <c:pt idx="12">
                  <c:v>45472</c:v>
                </c:pt>
              </c:numCache>
            </c:numRef>
          </c:cat>
          <c:val>
            <c:numRef>
              <c:f>'Budget vs Actual Monthly - List'!$E$49:$Q$49</c:f>
              <c:numCache>
                <c:formatCode>_(* "$"* #,##0.00_);_(* \(#,##0.00\);_(* "-"_);_(@_)</c:formatCode>
                <c:ptCount val="13"/>
                <c:pt idx="0">
                  <c:v>11</c:v>
                </c:pt>
                <c:pt idx="1">
                  <c:v>22</c:v>
                </c:pt>
                <c:pt idx="2">
                  <c:v>34</c:v>
                </c:pt>
                <c:pt idx="3">
                  <c:v>40</c:v>
                </c:pt>
                <c:pt idx="4">
                  <c:v>49</c:v>
                </c:pt>
                <c:pt idx="5">
                  <c:v>#N/A</c:v>
                </c:pt>
                <c:pt idx="6">
                  <c:v>#N/A</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0-B362-4F46-B73B-CCF9711AD848}"/>
            </c:ext>
          </c:extLst>
        </c:ser>
        <c:ser>
          <c:idx val="0"/>
          <c:order val="1"/>
          <c:tx>
            <c:v>Budgeted</c:v>
          </c:tx>
          <c:spPr>
            <a:ln w="28575" cap="rnd">
              <a:solidFill>
                <a:schemeClr val="accent2"/>
              </a:solidFill>
              <a:round/>
            </a:ln>
            <a:effectLst/>
          </c:spPr>
          <c:marker>
            <c:symbol val="diamond"/>
            <c:size val="6"/>
            <c:spPr>
              <a:solidFill>
                <a:schemeClr val="accent2"/>
              </a:solidFill>
              <a:ln w="9525">
                <a:noFill/>
              </a:ln>
              <a:effectLst/>
            </c:spPr>
          </c:marker>
          <c:cat>
            <c:numRef>
              <c:f>'Budget vs Actual Monthly - List'!$E$5:$Q$5</c:f>
              <c:numCache>
                <c:formatCode>mmm\-yy</c:formatCode>
                <c:ptCount val="13"/>
                <c:pt idx="0">
                  <c:v>45107</c:v>
                </c:pt>
                <c:pt idx="1">
                  <c:v>45137</c:v>
                </c:pt>
                <c:pt idx="2">
                  <c:v>45168</c:v>
                </c:pt>
                <c:pt idx="3">
                  <c:v>45199</c:v>
                </c:pt>
                <c:pt idx="4">
                  <c:v>45229</c:v>
                </c:pt>
                <c:pt idx="5">
                  <c:v>45260</c:v>
                </c:pt>
                <c:pt idx="6">
                  <c:v>45290</c:v>
                </c:pt>
                <c:pt idx="7">
                  <c:v>45321</c:v>
                </c:pt>
                <c:pt idx="8">
                  <c:v>45351</c:v>
                </c:pt>
                <c:pt idx="9">
                  <c:v>45380</c:v>
                </c:pt>
                <c:pt idx="10">
                  <c:v>45411</c:v>
                </c:pt>
                <c:pt idx="11">
                  <c:v>45441</c:v>
                </c:pt>
                <c:pt idx="12">
                  <c:v>45472</c:v>
                </c:pt>
              </c:numCache>
            </c:numRef>
          </c:cat>
          <c:val>
            <c:numRef>
              <c:f>'Budget vs Actual Monthly - List'!$E$47:$Q$47</c:f>
              <c:numCache>
                <c:formatCode>_(* "$"* #,##0.00_);_(* \(#,##0.00\);_(* "-"_);_(@_)</c:formatCode>
                <c:ptCount val="13"/>
                <c:pt idx="0">
                  <c:v>11</c:v>
                </c:pt>
                <c:pt idx="1">
                  <c:v>17</c:v>
                </c:pt>
                <c:pt idx="2">
                  <c:v>26</c:v>
                </c:pt>
                <c:pt idx="3">
                  <c:v>30</c:v>
                </c:pt>
                <c:pt idx="4">
                  <c:v>40</c:v>
                </c:pt>
                <c:pt idx="5">
                  <c:v>#N/A</c:v>
                </c:pt>
                <c:pt idx="6">
                  <c:v>#N/A</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1-B362-4F46-B73B-CCF9711AD848}"/>
            </c:ext>
          </c:extLst>
        </c:ser>
        <c:dLbls>
          <c:showLegendKey val="0"/>
          <c:showVal val="0"/>
          <c:showCatName val="0"/>
          <c:showSerName val="0"/>
          <c:showPercent val="0"/>
          <c:showBubbleSize val="0"/>
        </c:dLbls>
        <c:marker val="1"/>
        <c:smooth val="0"/>
        <c:axId val="190755640"/>
        <c:axId val="493814904"/>
      </c:lineChart>
      <c:dateAx>
        <c:axId val="19075564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14904"/>
        <c:crosses val="autoZero"/>
        <c:auto val="1"/>
        <c:lblOffset val="100"/>
        <c:baseTimeUnit val="months"/>
      </c:dateAx>
      <c:valAx>
        <c:axId val="493814904"/>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55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Project Budget versus Actual Cost - Weekly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v>Actual Cost</c:v>
          </c:tx>
          <c:spPr>
            <a:ln w="28575" cap="rnd">
              <a:solidFill>
                <a:schemeClr val="accent6"/>
              </a:solidFill>
              <a:round/>
            </a:ln>
            <a:effectLst/>
          </c:spPr>
          <c:marker>
            <c:symbol val="diamond"/>
            <c:size val="6"/>
            <c:spPr>
              <a:solidFill>
                <a:schemeClr val="accent6"/>
              </a:solidFill>
              <a:ln w="9525">
                <a:noFill/>
              </a:ln>
              <a:effectLst/>
            </c:spPr>
          </c:marker>
          <c:cat>
            <c:numRef>
              <c:f>'Budget vs Actual Weekly - List'!$E$5:$BF$5</c:f>
              <c:numCache>
                <c:formatCode>d\ mmm\ yy</c:formatCode>
                <c:ptCount val="54"/>
                <c:pt idx="0">
                  <c:v>45107</c:v>
                </c:pt>
                <c:pt idx="1">
                  <c:v>45114</c:v>
                </c:pt>
                <c:pt idx="2">
                  <c:v>45121</c:v>
                </c:pt>
                <c:pt idx="3">
                  <c:v>45128</c:v>
                </c:pt>
                <c:pt idx="4">
                  <c:v>45135</c:v>
                </c:pt>
                <c:pt idx="5">
                  <c:v>45142</c:v>
                </c:pt>
                <c:pt idx="6">
                  <c:v>45149</c:v>
                </c:pt>
                <c:pt idx="7">
                  <c:v>45156</c:v>
                </c:pt>
                <c:pt idx="8">
                  <c:v>45163</c:v>
                </c:pt>
                <c:pt idx="9">
                  <c:v>45170</c:v>
                </c:pt>
                <c:pt idx="10">
                  <c:v>45177</c:v>
                </c:pt>
                <c:pt idx="11">
                  <c:v>45184</c:v>
                </c:pt>
                <c:pt idx="12">
                  <c:v>45191</c:v>
                </c:pt>
                <c:pt idx="13">
                  <c:v>45198</c:v>
                </c:pt>
                <c:pt idx="14">
                  <c:v>45205</c:v>
                </c:pt>
                <c:pt idx="15">
                  <c:v>45212</c:v>
                </c:pt>
                <c:pt idx="16">
                  <c:v>45219</c:v>
                </c:pt>
                <c:pt idx="17">
                  <c:v>45226</c:v>
                </c:pt>
                <c:pt idx="18">
                  <c:v>45233</c:v>
                </c:pt>
                <c:pt idx="19">
                  <c:v>45240</c:v>
                </c:pt>
                <c:pt idx="20">
                  <c:v>45247</c:v>
                </c:pt>
                <c:pt idx="21">
                  <c:v>45254</c:v>
                </c:pt>
                <c:pt idx="22">
                  <c:v>45261</c:v>
                </c:pt>
                <c:pt idx="23">
                  <c:v>45268</c:v>
                </c:pt>
                <c:pt idx="24">
                  <c:v>45275</c:v>
                </c:pt>
                <c:pt idx="25">
                  <c:v>45282</c:v>
                </c:pt>
                <c:pt idx="26">
                  <c:v>45289</c:v>
                </c:pt>
                <c:pt idx="27">
                  <c:v>45296</c:v>
                </c:pt>
                <c:pt idx="28">
                  <c:v>45303</c:v>
                </c:pt>
                <c:pt idx="29">
                  <c:v>45310</c:v>
                </c:pt>
                <c:pt idx="30">
                  <c:v>45317</c:v>
                </c:pt>
                <c:pt idx="31">
                  <c:v>45324</c:v>
                </c:pt>
                <c:pt idx="32">
                  <c:v>45331</c:v>
                </c:pt>
                <c:pt idx="33">
                  <c:v>45338</c:v>
                </c:pt>
                <c:pt idx="34">
                  <c:v>45345</c:v>
                </c:pt>
                <c:pt idx="35">
                  <c:v>45352</c:v>
                </c:pt>
                <c:pt idx="36">
                  <c:v>45359</c:v>
                </c:pt>
                <c:pt idx="37">
                  <c:v>45366</c:v>
                </c:pt>
                <c:pt idx="38">
                  <c:v>45373</c:v>
                </c:pt>
                <c:pt idx="39">
                  <c:v>45380</c:v>
                </c:pt>
                <c:pt idx="40">
                  <c:v>45387</c:v>
                </c:pt>
                <c:pt idx="41">
                  <c:v>45394</c:v>
                </c:pt>
                <c:pt idx="42">
                  <c:v>45401</c:v>
                </c:pt>
                <c:pt idx="43">
                  <c:v>45408</c:v>
                </c:pt>
                <c:pt idx="44">
                  <c:v>45415</c:v>
                </c:pt>
                <c:pt idx="45">
                  <c:v>45422</c:v>
                </c:pt>
                <c:pt idx="46">
                  <c:v>45429</c:v>
                </c:pt>
                <c:pt idx="47">
                  <c:v>45436</c:v>
                </c:pt>
                <c:pt idx="48">
                  <c:v>45443</c:v>
                </c:pt>
                <c:pt idx="49">
                  <c:v>45450</c:v>
                </c:pt>
                <c:pt idx="50">
                  <c:v>45457</c:v>
                </c:pt>
                <c:pt idx="51">
                  <c:v>45464</c:v>
                </c:pt>
                <c:pt idx="52">
                  <c:v>45471</c:v>
                </c:pt>
                <c:pt idx="53">
                  <c:v>45478</c:v>
                </c:pt>
              </c:numCache>
            </c:numRef>
          </c:cat>
          <c:val>
            <c:numRef>
              <c:f>'Budget vs Actual Weekly - List'!$E$49:$BF$49</c:f>
              <c:numCache>
                <c:formatCode>_(* "$"* #,##0.00_);_(* \(#,##0.00\);_(* "-"_);_(@_)</c:formatCode>
                <c:ptCount val="54"/>
                <c:pt idx="0">
                  <c:v>11</c:v>
                </c:pt>
                <c:pt idx="1">
                  <c:v>26</c:v>
                </c:pt>
                <c:pt idx="2">
                  <c:v>50</c:v>
                </c:pt>
                <c:pt idx="3">
                  <c:v>56</c:v>
                </c:pt>
                <c:pt idx="4">
                  <c:v>65</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numCache>
            </c:numRef>
          </c:val>
          <c:smooth val="0"/>
          <c:extLst>
            <c:ext xmlns:c16="http://schemas.microsoft.com/office/drawing/2014/chart" uri="{C3380CC4-5D6E-409C-BE32-E72D297353CC}">
              <c16:uniqueId val="{00000000-B376-49E7-8B17-ED99D1094F20}"/>
            </c:ext>
          </c:extLst>
        </c:ser>
        <c:ser>
          <c:idx val="0"/>
          <c:order val="1"/>
          <c:tx>
            <c:v>Budgeted</c:v>
          </c:tx>
          <c:spPr>
            <a:ln w="28575" cap="rnd">
              <a:solidFill>
                <a:schemeClr val="accent2"/>
              </a:solidFill>
              <a:round/>
            </a:ln>
            <a:effectLst/>
          </c:spPr>
          <c:marker>
            <c:symbol val="diamond"/>
            <c:size val="6"/>
            <c:spPr>
              <a:solidFill>
                <a:schemeClr val="accent2"/>
              </a:solidFill>
              <a:ln w="9525">
                <a:noFill/>
              </a:ln>
              <a:effectLst/>
            </c:spPr>
          </c:marker>
          <c:cat>
            <c:numRef>
              <c:f>'Budget vs Actual Weekly - List'!$E$5:$BF$5</c:f>
              <c:numCache>
                <c:formatCode>d\ mmm\ yy</c:formatCode>
                <c:ptCount val="54"/>
                <c:pt idx="0">
                  <c:v>45107</c:v>
                </c:pt>
                <c:pt idx="1">
                  <c:v>45114</c:v>
                </c:pt>
                <c:pt idx="2">
                  <c:v>45121</c:v>
                </c:pt>
                <c:pt idx="3">
                  <c:v>45128</c:v>
                </c:pt>
                <c:pt idx="4">
                  <c:v>45135</c:v>
                </c:pt>
                <c:pt idx="5">
                  <c:v>45142</c:v>
                </c:pt>
                <c:pt idx="6">
                  <c:v>45149</c:v>
                </c:pt>
                <c:pt idx="7">
                  <c:v>45156</c:v>
                </c:pt>
                <c:pt idx="8">
                  <c:v>45163</c:v>
                </c:pt>
                <c:pt idx="9">
                  <c:v>45170</c:v>
                </c:pt>
                <c:pt idx="10">
                  <c:v>45177</c:v>
                </c:pt>
                <c:pt idx="11">
                  <c:v>45184</c:v>
                </c:pt>
                <c:pt idx="12">
                  <c:v>45191</c:v>
                </c:pt>
                <c:pt idx="13">
                  <c:v>45198</c:v>
                </c:pt>
                <c:pt idx="14">
                  <c:v>45205</c:v>
                </c:pt>
                <c:pt idx="15">
                  <c:v>45212</c:v>
                </c:pt>
                <c:pt idx="16">
                  <c:v>45219</c:v>
                </c:pt>
                <c:pt idx="17">
                  <c:v>45226</c:v>
                </c:pt>
                <c:pt idx="18">
                  <c:v>45233</c:v>
                </c:pt>
                <c:pt idx="19">
                  <c:v>45240</c:v>
                </c:pt>
                <c:pt idx="20">
                  <c:v>45247</c:v>
                </c:pt>
                <c:pt idx="21">
                  <c:v>45254</c:v>
                </c:pt>
                <c:pt idx="22">
                  <c:v>45261</c:v>
                </c:pt>
                <c:pt idx="23">
                  <c:v>45268</c:v>
                </c:pt>
                <c:pt idx="24">
                  <c:v>45275</c:v>
                </c:pt>
                <c:pt idx="25">
                  <c:v>45282</c:v>
                </c:pt>
                <c:pt idx="26">
                  <c:v>45289</c:v>
                </c:pt>
                <c:pt idx="27">
                  <c:v>45296</c:v>
                </c:pt>
                <c:pt idx="28">
                  <c:v>45303</c:v>
                </c:pt>
                <c:pt idx="29">
                  <c:v>45310</c:v>
                </c:pt>
                <c:pt idx="30">
                  <c:v>45317</c:v>
                </c:pt>
                <c:pt idx="31">
                  <c:v>45324</c:v>
                </c:pt>
                <c:pt idx="32">
                  <c:v>45331</c:v>
                </c:pt>
                <c:pt idx="33">
                  <c:v>45338</c:v>
                </c:pt>
                <c:pt idx="34">
                  <c:v>45345</c:v>
                </c:pt>
                <c:pt idx="35">
                  <c:v>45352</c:v>
                </c:pt>
                <c:pt idx="36">
                  <c:v>45359</c:v>
                </c:pt>
                <c:pt idx="37">
                  <c:v>45366</c:v>
                </c:pt>
                <c:pt idx="38">
                  <c:v>45373</c:v>
                </c:pt>
                <c:pt idx="39">
                  <c:v>45380</c:v>
                </c:pt>
                <c:pt idx="40">
                  <c:v>45387</c:v>
                </c:pt>
                <c:pt idx="41">
                  <c:v>45394</c:v>
                </c:pt>
                <c:pt idx="42">
                  <c:v>45401</c:v>
                </c:pt>
                <c:pt idx="43">
                  <c:v>45408</c:v>
                </c:pt>
                <c:pt idx="44">
                  <c:v>45415</c:v>
                </c:pt>
                <c:pt idx="45">
                  <c:v>45422</c:v>
                </c:pt>
                <c:pt idx="46">
                  <c:v>45429</c:v>
                </c:pt>
                <c:pt idx="47">
                  <c:v>45436</c:v>
                </c:pt>
                <c:pt idx="48">
                  <c:v>45443</c:v>
                </c:pt>
                <c:pt idx="49">
                  <c:v>45450</c:v>
                </c:pt>
                <c:pt idx="50">
                  <c:v>45457</c:v>
                </c:pt>
                <c:pt idx="51">
                  <c:v>45464</c:v>
                </c:pt>
                <c:pt idx="52">
                  <c:v>45471</c:v>
                </c:pt>
                <c:pt idx="53">
                  <c:v>45478</c:v>
                </c:pt>
              </c:numCache>
            </c:numRef>
          </c:cat>
          <c:val>
            <c:numRef>
              <c:f>'Budget vs Actual Weekly - List'!$E$47:$BF$47</c:f>
              <c:numCache>
                <c:formatCode>_(* "$"* #,##0.00_);_(* \(#,##0.00\);_(* "-"_);_(@_)</c:formatCode>
                <c:ptCount val="54"/>
                <c:pt idx="0">
                  <c:v>11</c:v>
                </c:pt>
                <c:pt idx="1">
                  <c:v>19</c:v>
                </c:pt>
                <c:pt idx="2">
                  <c:v>39</c:v>
                </c:pt>
                <c:pt idx="3">
                  <c:v>43</c:v>
                </c:pt>
                <c:pt idx="4">
                  <c:v>53</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numCache>
            </c:numRef>
          </c:val>
          <c:smooth val="0"/>
          <c:extLst>
            <c:ext xmlns:c16="http://schemas.microsoft.com/office/drawing/2014/chart" uri="{C3380CC4-5D6E-409C-BE32-E72D297353CC}">
              <c16:uniqueId val="{00000001-B376-49E7-8B17-ED99D1094F20}"/>
            </c:ext>
          </c:extLst>
        </c:ser>
        <c:dLbls>
          <c:showLegendKey val="0"/>
          <c:showVal val="0"/>
          <c:showCatName val="0"/>
          <c:showSerName val="0"/>
          <c:showPercent val="0"/>
          <c:showBubbleSize val="0"/>
        </c:dLbls>
        <c:marker val="1"/>
        <c:smooth val="0"/>
        <c:axId val="190754856"/>
        <c:axId val="190755248"/>
      </c:lineChart>
      <c:dateAx>
        <c:axId val="190754856"/>
        <c:scaling>
          <c:orientation val="minMax"/>
        </c:scaling>
        <c:delete val="0"/>
        <c:axPos val="b"/>
        <c:numFmt formatCode="d\ mmm\ 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55248"/>
        <c:crosses val="autoZero"/>
        <c:auto val="1"/>
        <c:lblOffset val="100"/>
        <c:baseTimeUnit val="days"/>
        <c:majorUnit val="7"/>
        <c:majorTimeUnit val="days"/>
        <c:minorUnit val="7"/>
        <c:minorTimeUnit val="days"/>
      </c:dateAx>
      <c:valAx>
        <c:axId val="190755248"/>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54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Project Budget versus Actual Cost - Weekly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v>Actual Cost</c:v>
          </c:tx>
          <c:spPr>
            <a:ln w="28575" cap="rnd">
              <a:solidFill>
                <a:schemeClr val="accent6"/>
              </a:solidFill>
              <a:round/>
            </a:ln>
            <a:effectLst/>
          </c:spPr>
          <c:marker>
            <c:symbol val="diamond"/>
            <c:size val="6"/>
            <c:spPr>
              <a:solidFill>
                <a:schemeClr val="accent6"/>
              </a:solidFill>
              <a:ln w="9525">
                <a:noFill/>
              </a:ln>
              <a:effectLst/>
            </c:spPr>
          </c:marker>
          <c:cat>
            <c:numRef>
              <c:f>'Budget vs Actual Weekly - List'!$E$5:$BF$5</c:f>
              <c:numCache>
                <c:formatCode>d\ mmm\ yy</c:formatCode>
                <c:ptCount val="54"/>
                <c:pt idx="0">
                  <c:v>45107</c:v>
                </c:pt>
                <c:pt idx="1">
                  <c:v>45114</c:v>
                </c:pt>
                <c:pt idx="2">
                  <c:v>45121</c:v>
                </c:pt>
                <c:pt idx="3">
                  <c:v>45128</c:v>
                </c:pt>
                <c:pt idx="4">
                  <c:v>45135</c:v>
                </c:pt>
                <c:pt idx="5">
                  <c:v>45142</c:v>
                </c:pt>
                <c:pt idx="6">
                  <c:v>45149</c:v>
                </c:pt>
                <c:pt idx="7">
                  <c:v>45156</c:v>
                </c:pt>
                <c:pt idx="8">
                  <c:v>45163</c:v>
                </c:pt>
                <c:pt idx="9">
                  <c:v>45170</c:v>
                </c:pt>
                <c:pt idx="10">
                  <c:v>45177</c:v>
                </c:pt>
                <c:pt idx="11">
                  <c:v>45184</c:v>
                </c:pt>
                <c:pt idx="12">
                  <c:v>45191</c:v>
                </c:pt>
                <c:pt idx="13">
                  <c:v>45198</c:v>
                </c:pt>
                <c:pt idx="14">
                  <c:v>45205</c:v>
                </c:pt>
                <c:pt idx="15">
                  <c:v>45212</c:v>
                </c:pt>
                <c:pt idx="16">
                  <c:v>45219</c:v>
                </c:pt>
                <c:pt idx="17">
                  <c:v>45226</c:v>
                </c:pt>
                <c:pt idx="18">
                  <c:v>45233</c:v>
                </c:pt>
                <c:pt idx="19">
                  <c:v>45240</c:v>
                </c:pt>
                <c:pt idx="20">
                  <c:v>45247</c:v>
                </c:pt>
                <c:pt idx="21">
                  <c:v>45254</c:v>
                </c:pt>
                <c:pt idx="22">
                  <c:v>45261</c:v>
                </c:pt>
                <c:pt idx="23">
                  <c:v>45268</c:v>
                </c:pt>
                <c:pt idx="24">
                  <c:v>45275</c:v>
                </c:pt>
                <c:pt idx="25">
                  <c:v>45282</c:v>
                </c:pt>
                <c:pt idx="26">
                  <c:v>45289</c:v>
                </c:pt>
                <c:pt idx="27">
                  <c:v>45296</c:v>
                </c:pt>
                <c:pt idx="28">
                  <c:v>45303</c:v>
                </c:pt>
                <c:pt idx="29">
                  <c:v>45310</c:v>
                </c:pt>
                <c:pt idx="30">
                  <c:v>45317</c:v>
                </c:pt>
                <c:pt idx="31">
                  <c:v>45324</c:v>
                </c:pt>
                <c:pt idx="32">
                  <c:v>45331</c:v>
                </c:pt>
                <c:pt idx="33">
                  <c:v>45338</c:v>
                </c:pt>
                <c:pt idx="34">
                  <c:v>45345</c:v>
                </c:pt>
                <c:pt idx="35">
                  <c:v>45352</c:v>
                </c:pt>
                <c:pt idx="36">
                  <c:v>45359</c:v>
                </c:pt>
                <c:pt idx="37">
                  <c:v>45366</c:v>
                </c:pt>
                <c:pt idx="38">
                  <c:v>45373</c:v>
                </c:pt>
                <c:pt idx="39">
                  <c:v>45380</c:v>
                </c:pt>
                <c:pt idx="40">
                  <c:v>45387</c:v>
                </c:pt>
                <c:pt idx="41">
                  <c:v>45394</c:v>
                </c:pt>
                <c:pt idx="42">
                  <c:v>45401</c:v>
                </c:pt>
                <c:pt idx="43">
                  <c:v>45408</c:v>
                </c:pt>
                <c:pt idx="44">
                  <c:v>45415</c:v>
                </c:pt>
                <c:pt idx="45">
                  <c:v>45422</c:v>
                </c:pt>
                <c:pt idx="46">
                  <c:v>45429</c:v>
                </c:pt>
                <c:pt idx="47">
                  <c:v>45436</c:v>
                </c:pt>
                <c:pt idx="48">
                  <c:v>45443</c:v>
                </c:pt>
                <c:pt idx="49">
                  <c:v>45450</c:v>
                </c:pt>
                <c:pt idx="50">
                  <c:v>45457</c:v>
                </c:pt>
                <c:pt idx="51">
                  <c:v>45464</c:v>
                </c:pt>
                <c:pt idx="52">
                  <c:v>45471</c:v>
                </c:pt>
                <c:pt idx="53">
                  <c:v>45478</c:v>
                </c:pt>
              </c:numCache>
            </c:numRef>
          </c:cat>
          <c:val>
            <c:numRef>
              <c:f>'Budget vs Actual Weekly - List'!$E$49:$BF$49</c:f>
              <c:numCache>
                <c:formatCode>_(* "$"* #,##0.00_);_(* \(#,##0.00\);_(* "-"_);_(@_)</c:formatCode>
                <c:ptCount val="54"/>
                <c:pt idx="0">
                  <c:v>11</c:v>
                </c:pt>
                <c:pt idx="1">
                  <c:v>26</c:v>
                </c:pt>
                <c:pt idx="2">
                  <c:v>50</c:v>
                </c:pt>
                <c:pt idx="3">
                  <c:v>56</c:v>
                </c:pt>
                <c:pt idx="4">
                  <c:v>65</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numCache>
            </c:numRef>
          </c:val>
          <c:smooth val="0"/>
          <c:extLst>
            <c:ext xmlns:c16="http://schemas.microsoft.com/office/drawing/2014/chart" uri="{C3380CC4-5D6E-409C-BE32-E72D297353CC}">
              <c16:uniqueId val="{00000000-0301-4E3F-8783-BC283BACE884}"/>
            </c:ext>
          </c:extLst>
        </c:ser>
        <c:ser>
          <c:idx val="0"/>
          <c:order val="1"/>
          <c:tx>
            <c:v>Budgeted</c:v>
          </c:tx>
          <c:spPr>
            <a:ln w="28575" cap="rnd">
              <a:solidFill>
                <a:schemeClr val="accent2"/>
              </a:solidFill>
              <a:round/>
            </a:ln>
            <a:effectLst/>
          </c:spPr>
          <c:marker>
            <c:symbol val="diamond"/>
            <c:size val="6"/>
            <c:spPr>
              <a:solidFill>
                <a:schemeClr val="accent2"/>
              </a:solidFill>
              <a:ln w="9525">
                <a:noFill/>
              </a:ln>
              <a:effectLst/>
            </c:spPr>
          </c:marker>
          <c:cat>
            <c:numRef>
              <c:f>'Budget vs Actual Weekly - List'!$E$5:$BF$5</c:f>
              <c:numCache>
                <c:formatCode>d\ mmm\ yy</c:formatCode>
                <c:ptCount val="54"/>
                <c:pt idx="0">
                  <c:v>45107</c:v>
                </c:pt>
                <c:pt idx="1">
                  <c:v>45114</c:v>
                </c:pt>
                <c:pt idx="2">
                  <c:v>45121</c:v>
                </c:pt>
                <c:pt idx="3">
                  <c:v>45128</c:v>
                </c:pt>
                <c:pt idx="4">
                  <c:v>45135</c:v>
                </c:pt>
                <c:pt idx="5">
                  <c:v>45142</c:v>
                </c:pt>
                <c:pt idx="6">
                  <c:v>45149</c:v>
                </c:pt>
                <c:pt idx="7">
                  <c:v>45156</c:v>
                </c:pt>
                <c:pt idx="8">
                  <c:v>45163</c:v>
                </c:pt>
                <c:pt idx="9">
                  <c:v>45170</c:v>
                </c:pt>
                <c:pt idx="10">
                  <c:v>45177</c:v>
                </c:pt>
                <c:pt idx="11">
                  <c:v>45184</c:v>
                </c:pt>
                <c:pt idx="12">
                  <c:v>45191</c:v>
                </c:pt>
                <c:pt idx="13">
                  <c:v>45198</c:v>
                </c:pt>
                <c:pt idx="14">
                  <c:v>45205</c:v>
                </c:pt>
                <c:pt idx="15">
                  <c:v>45212</c:v>
                </c:pt>
                <c:pt idx="16">
                  <c:v>45219</c:v>
                </c:pt>
                <c:pt idx="17">
                  <c:v>45226</c:v>
                </c:pt>
                <c:pt idx="18">
                  <c:v>45233</c:v>
                </c:pt>
                <c:pt idx="19">
                  <c:v>45240</c:v>
                </c:pt>
                <c:pt idx="20">
                  <c:v>45247</c:v>
                </c:pt>
                <c:pt idx="21">
                  <c:v>45254</c:v>
                </c:pt>
                <c:pt idx="22">
                  <c:v>45261</c:v>
                </c:pt>
                <c:pt idx="23">
                  <c:v>45268</c:v>
                </c:pt>
                <c:pt idx="24">
                  <c:v>45275</c:v>
                </c:pt>
                <c:pt idx="25">
                  <c:v>45282</c:v>
                </c:pt>
                <c:pt idx="26">
                  <c:v>45289</c:v>
                </c:pt>
                <c:pt idx="27">
                  <c:v>45296</c:v>
                </c:pt>
                <c:pt idx="28">
                  <c:v>45303</c:v>
                </c:pt>
                <c:pt idx="29">
                  <c:v>45310</c:v>
                </c:pt>
                <c:pt idx="30">
                  <c:v>45317</c:v>
                </c:pt>
                <c:pt idx="31">
                  <c:v>45324</c:v>
                </c:pt>
                <c:pt idx="32">
                  <c:v>45331</c:v>
                </c:pt>
                <c:pt idx="33">
                  <c:v>45338</c:v>
                </c:pt>
                <c:pt idx="34">
                  <c:v>45345</c:v>
                </c:pt>
                <c:pt idx="35">
                  <c:v>45352</c:v>
                </c:pt>
                <c:pt idx="36">
                  <c:v>45359</c:v>
                </c:pt>
                <c:pt idx="37">
                  <c:v>45366</c:v>
                </c:pt>
                <c:pt idx="38">
                  <c:v>45373</c:v>
                </c:pt>
                <c:pt idx="39">
                  <c:v>45380</c:v>
                </c:pt>
                <c:pt idx="40">
                  <c:v>45387</c:v>
                </c:pt>
                <c:pt idx="41">
                  <c:v>45394</c:v>
                </c:pt>
                <c:pt idx="42">
                  <c:v>45401</c:v>
                </c:pt>
                <c:pt idx="43">
                  <c:v>45408</c:v>
                </c:pt>
                <c:pt idx="44">
                  <c:v>45415</c:v>
                </c:pt>
                <c:pt idx="45">
                  <c:v>45422</c:v>
                </c:pt>
                <c:pt idx="46">
                  <c:v>45429</c:v>
                </c:pt>
                <c:pt idx="47">
                  <c:v>45436</c:v>
                </c:pt>
                <c:pt idx="48">
                  <c:v>45443</c:v>
                </c:pt>
                <c:pt idx="49">
                  <c:v>45450</c:v>
                </c:pt>
                <c:pt idx="50">
                  <c:v>45457</c:v>
                </c:pt>
                <c:pt idx="51">
                  <c:v>45464</c:v>
                </c:pt>
                <c:pt idx="52">
                  <c:v>45471</c:v>
                </c:pt>
                <c:pt idx="53">
                  <c:v>45478</c:v>
                </c:pt>
              </c:numCache>
            </c:numRef>
          </c:cat>
          <c:val>
            <c:numRef>
              <c:f>'Budget vs Actual Weekly - List'!$E$47:$BF$47</c:f>
              <c:numCache>
                <c:formatCode>_(* "$"* #,##0.00_);_(* \(#,##0.00\);_(* "-"_);_(@_)</c:formatCode>
                <c:ptCount val="54"/>
                <c:pt idx="0">
                  <c:v>11</c:v>
                </c:pt>
                <c:pt idx="1">
                  <c:v>19</c:v>
                </c:pt>
                <c:pt idx="2">
                  <c:v>39</c:v>
                </c:pt>
                <c:pt idx="3">
                  <c:v>43</c:v>
                </c:pt>
                <c:pt idx="4">
                  <c:v>53</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numCache>
            </c:numRef>
          </c:val>
          <c:smooth val="0"/>
          <c:extLst>
            <c:ext xmlns:c16="http://schemas.microsoft.com/office/drawing/2014/chart" uri="{C3380CC4-5D6E-409C-BE32-E72D297353CC}">
              <c16:uniqueId val="{00000001-0301-4E3F-8783-BC283BACE884}"/>
            </c:ext>
          </c:extLst>
        </c:ser>
        <c:dLbls>
          <c:showLegendKey val="0"/>
          <c:showVal val="0"/>
          <c:showCatName val="0"/>
          <c:showSerName val="0"/>
          <c:showPercent val="0"/>
          <c:showBubbleSize val="0"/>
        </c:dLbls>
        <c:marker val="1"/>
        <c:smooth val="0"/>
        <c:axId val="190754856"/>
        <c:axId val="190755248"/>
      </c:lineChart>
      <c:dateAx>
        <c:axId val="190754856"/>
        <c:scaling>
          <c:orientation val="minMax"/>
        </c:scaling>
        <c:delete val="0"/>
        <c:axPos val="b"/>
        <c:numFmt formatCode="d\ mmm\ 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55248"/>
        <c:crosses val="autoZero"/>
        <c:auto val="1"/>
        <c:lblOffset val="100"/>
        <c:baseTimeUnit val="days"/>
        <c:majorUnit val="7"/>
        <c:majorTimeUnit val="days"/>
        <c:minorUnit val="7"/>
        <c:minorTimeUnit val="days"/>
      </c:dateAx>
      <c:valAx>
        <c:axId val="190755248"/>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54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236220</xdr:colOff>
      <xdr:row>50</xdr:row>
      <xdr:rowOff>99060</xdr:rowOff>
    </xdr:from>
    <xdr:to>
      <xdr:col>14</xdr:col>
      <xdr:colOff>45720</xdr:colOff>
      <xdr:row>73</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335280</xdr:colOff>
      <xdr:row>1</xdr:row>
      <xdr:rowOff>114300</xdr:rowOff>
    </xdr:from>
    <xdr:to>
      <xdr:col>11</xdr:col>
      <xdr:colOff>236220</xdr:colOff>
      <xdr:row>24</xdr:row>
      <xdr:rowOff>106680</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219287</xdr:colOff>
      <xdr:row>50</xdr:row>
      <xdr:rowOff>60960</xdr:rowOff>
    </xdr:from>
    <xdr:to>
      <xdr:col>15</xdr:col>
      <xdr:colOff>38100</xdr:colOff>
      <xdr:row>72</xdr:row>
      <xdr:rowOff>135467</xdr:rowOff>
    </xdr:to>
    <xdr:graphicFrame macro="">
      <xdr:nvGraphicFramePr>
        <xdr:cNvPr id="2" name="Chart 1">
          <a:extLst>
            <a:ext uri="{FF2B5EF4-FFF2-40B4-BE49-F238E27FC236}">
              <a16:creationId xmlns:a16="http://schemas.microsoft.com/office/drawing/2014/main" id="{6C304B18-3941-41D8-959D-BFD32AE12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224790</xdr:colOff>
      <xdr:row>0</xdr:row>
      <xdr:rowOff>163830</xdr:rowOff>
    </xdr:from>
    <xdr:to>
      <xdr:col>13</xdr:col>
      <xdr:colOff>354330</xdr:colOff>
      <xdr:row>22</xdr:row>
      <xdr:rowOff>33443</xdr:rowOff>
    </xdr:to>
    <xdr:graphicFrame macro="">
      <xdr:nvGraphicFramePr>
        <xdr:cNvPr id="3" name="Chart 2">
          <a:extLst>
            <a:ext uri="{FF2B5EF4-FFF2-40B4-BE49-F238E27FC236}">
              <a16:creationId xmlns:a16="http://schemas.microsoft.com/office/drawing/2014/main" id="{D61A828D-A6A4-4D31-A3D0-23C54A440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75"/>
  <sheetViews>
    <sheetView showGridLines="0" tabSelected="1" zoomScale="90" zoomScaleNormal="90" workbookViewId="0">
      <pane xSplit="4" ySplit="5" topLeftCell="E46" activePane="bottomRight" state="frozen"/>
      <selection pane="topRight" activeCell="E1" sqref="E1"/>
      <selection pane="bottomLeft" activeCell="A6" sqref="A6"/>
      <selection pane="bottomRight"/>
    </sheetView>
  </sheetViews>
  <sheetFormatPr defaultColWidth="8.88671875" defaultRowHeight="13.8" x14ac:dyDescent="0.25"/>
  <cols>
    <col min="1" max="1" width="1.6640625" style="1" customWidth="1"/>
    <col min="2" max="2" width="4.88671875" style="1" customWidth="1"/>
    <col min="3" max="3" width="21.6640625" style="1" customWidth="1"/>
    <col min="4" max="4" width="12.44140625" style="1" customWidth="1"/>
    <col min="5" max="17" width="12.88671875" style="1" customWidth="1"/>
    <col min="18" max="18" width="14.21875" style="1" customWidth="1"/>
    <col min="19" max="19" width="2" style="1" customWidth="1"/>
    <col min="20" max="16384" width="8.88671875" style="1"/>
  </cols>
  <sheetData>
    <row r="1" spans="2:20" ht="9.6" customHeight="1" x14ac:dyDescent="0.25">
      <c r="B1" s="25"/>
      <c r="C1" s="25"/>
      <c r="D1" s="27"/>
      <c r="E1" s="27"/>
      <c r="F1" s="27"/>
      <c r="G1" s="27"/>
      <c r="H1" s="27"/>
      <c r="I1" s="27"/>
      <c r="J1" s="27"/>
      <c r="K1" s="27"/>
      <c r="L1" s="27"/>
      <c r="M1" s="27"/>
      <c r="N1" s="27"/>
      <c r="O1" s="27"/>
      <c r="P1" s="27"/>
      <c r="Q1" s="27"/>
      <c r="R1" s="27"/>
      <c r="S1" s="42"/>
    </row>
    <row r="2" spans="2:20" ht="25.2" customHeight="1" x14ac:dyDescent="0.25">
      <c r="B2" s="26"/>
      <c r="C2" s="26"/>
      <c r="D2" s="28"/>
      <c r="E2" s="28"/>
      <c r="F2" s="28"/>
      <c r="G2" s="28"/>
      <c r="H2" s="28"/>
      <c r="I2" s="68" t="s">
        <v>26</v>
      </c>
      <c r="J2" s="68"/>
      <c r="K2" s="68"/>
      <c r="L2" s="28"/>
      <c r="M2" s="28"/>
      <c r="N2" s="28"/>
      <c r="O2" s="28"/>
      <c r="P2" s="28"/>
      <c r="Q2" s="28"/>
      <c r="R2" s="28"/>
      <c r="S2" s="42"/>
    </row>
    <row r="3" spans="2:20" ht="19.2" customHeight="1" x14ac:dyDescent="0.25">
      <c r="B3" s="25"/>
      <c r="C3" s="55" t="s">
        <v>8</v>
      </c>
      <c r="D3" s="56">
        <v>45107</v>
      </c>
      <c r="E3" s="27"/>
      <c r="F3" s="29"/>
      <c r="G3" s="27"/>
      <c r="H3" s="27"/>
      <c r="I3" s="79" t="s">
        <v>12</v>
      </c>
      <c r="J3" s="79"/>
      <c r="K3" s="79"/>
      <c r="L3" s="27"/>
      <c r="M3" s="27"/>
      <c r="N3" s="55" t="s">
        <v>19</v>
      </c>
      <c r="O3" s="76"/>
      <c r="P3" s="77"/>
      <c r="Q3" s="78"/>
      <c r="R3" s="27"/>
      <c r="S3" s="42"/>
      <c r="T3" s="58" t="s">
        <v>23</v>
      </c>
    </row>
    <row r="4" spans="2:20" ht="9.6" customHeight="1" thickBot="1" x14ac:dyDescent="0.3">
      <c r="B4" s="25"/>
      <c r="C4" s="25"/>
      <c r="D4" s="25"/>
      <c r="E4" s="25"/>
      <c r="F4" s="25"/>
      <c r="G4" s="25"/>
      <c r="H4" s="25"/>
      <c r="I4" s="25"/>
      <c r="J4" s="25"/>
      <c r="K4" s="25"/>
      <c r="L4" s="25"/>
      <c r="M4" s="25"/>
      <c r="N4" s="25"/>
      <c r="O4" s="25"/>
      <c r="P4" s="25"/>
      <c r="Q4" s="25"/>
      <c r="R4" s="25"/>
    </row>
    <row r="5" spans="2:20" ht="19.95" customHeight="1" thickBot="1" x14ac:dyDescent="0.3">
      <c r="B5" s="21" t="s">
        <v>9</v>
      </c>
      <c r="C5" s="22" t="s">
        <v>7</v>
      </c>
      <c r="D5" s="22" t="s">
        <v>1</v>
      </c>
      <c r="E5" s="23">
        <f>D3</f>
        <v>45107</v>
      </c>
      <c r="F5" s="23">
        <f>EDATE(E5,1)</f>
        <v>45137</v>
      </c>
      <c r="G5" s="23">
        <f t="shared" ref="G5:Q5" si="0">EDATE(F5,1)</f>
        <v>45168</v>
      </c>
      <c r="H5" s="23">
        <f t="shared" si="0"/>
        <v>45199</v>
      </c>
      <c r="I5" s="23">
        <f t="shared" si="0"/>
        <v>45229</v>
      </c>
      <c r="J5" s="23">
        <f t="shared" si="0"/>
        <v>45260</v>
      </c>
      <c r="K5" s="23">
        <f t="shared" si="0"/>
        <v>45290</v>
      </c>
      <c r="L5" s="23">
        <f t="shared" si="0"/>
        <v>45321</v>
      </c>
      <c r="M5" s="23">
        <f t="shared" si="0"/>
        <v>45351</v>
      </c>
      <c r="N5" s="23">
        <f t="shared" si="0"/>
        <v>45380</v>
      </c>
      <c r="O5" s="23">
        <f t="shared" si="0"/>
        <v>45411</v>
      </c>
      <c r="P5" s="23">
        <f t="shared" si="0"/>
        <v>45441</v>
      </c>
      <c r="Q5" s="23">
        <f t="shared" si="0"/>
        <v>45472</v>
      </c>
      <c r="R5" s="24" t="s">
        <v>0</v>
      </c>
      <c r="T5" s="58" t="s">
        <v>24</v>
      </c>
    </row>
    <row r="6" spans="2:20" ht="19.95" customHeight="1" x14ac:dyDescent="0.25">
      <c r="B6" s="81">
        <v>1</v>
      </c>
      <c r="C6" s="80" t="s">
        <v>4</v>
      </c>
      <c r="D6" s="36" t="s">
        <v>2</v>
      </c>
      <c r="E6" s="5">
        <v>5</v>
      </c>
      <c r="F6" s="6">
        <v>3</v>
      </c>
      <c r="G6" s="6">
        <v>3</v>
      </c>
      <c r="H6" s="6">
        <v>3</v>
      </c>
      <c r="I6" s="6"/>
      <c r="J6" s="6"/>
      <c r="K6" s="6"/>
      <c r="L6" s="6"/>
      <c r="M6" s="6"/>
      <c r="N6" s="6"/>
      <c r="O6" s="6"/>
      <c r="P6" s="6"/>
      <c r="Q6" s="7"/>
      <c r="R6" s="8">
        <f>SUM(E6:Q6)</f>
        <v>14</v>
      </c>
    </row>
    <row r="7" spans="2:20" ht="19.95" customHeight="1" x14ac:dyDescent="0.25">
      <c r="B7" s="69"/>
      <c r="C7" s="71"/>
      <c r="D7" s="37" t="s">
        <v>3</v>
      </c>
      <c r="E7" s="9">
        <v>5</v>
      </c>
      <c r="F7" s="10">
        <v>3</v>
      </c>
      <c r="G7" s="10">
        <v>4</v>
      </c>
      <c r="H7" s="10">
        <v>2</v>
      </c>
      <c r="I7" s="10"/>
      <c r="J7" s="10"/>
      <c r="K7" s="10"/>
      <c r="L7" s="10"/>
      <c r="M7" s="10"/>
      <c r="N7" s="10"/>
      <c r="O7" s="10"/>
      <c r="P7" s="10"/>
      <c r="Q7" s="11"/>
      <c r="R7" s="12">
        <f t="shared" ref="R7:R45" si="1">SUM(E7:Q7)</f>
        <v>14</v>
      </c>
    </row>
    <row r="8" spans="2:20" ht="19.95" customHeight="1" x14ac:dyDescent="0.25">
      <c r="B8" s="69">
        <v>2</v>
      </c>
      <c r="C8" s="70" t="s">
        <v>4</v>
      </c>
      <c r="D8" s="38" t="s">
        <v>2</v>
      </c>
      <c r="E8" s="13">
        <v>3</v>
      </c>
      <c r="F8" s="14">
        <v>1</v>
      </c>
      <c r="G8" s="14">
        <v>4</v>
      </c>
      <c r="H8" s="14"/>
      <c r="I8" s="14"/>
      <c r="J8" s="14"/>
      <c r="K8" s="14"/>
      <c r="L8" s="14"/>
      <c r="M8" s="14"/>
      <c r="N8" s="14"/>
      <c r="O8" s="14"/>
      <c r="P8" s="14"/>
      <c r="Q8" s="15"/>
      <c r="R8" s="16">
        <f t="shared" si="1"/>
        <v>8</v>
      </c>
    </row>
    <row r="9" spans="2:20" ht="19.95" customHeight="1" x14ac:dyDescent="0.25">
      <c r="B9" s="69"/>
      <c r="C9" s="71"/>
      <c r="D9" s="37" t="s">
        <v>3</v>
      </c>
      <c r="E9" s="9">
        <v>3</v>
      </c>
      <c r="F9" s="10">
        <v>4</v>
      </c>
      <c r="G9" s="10">
        <v>4</v>
      </c>
      <c r="H9" s="10"/>
      <c r="I9" s="10"/>
      <c r="J9" s="10"/>
      <c r="K9" s="10"/>
      <c r="L9" s="10"/>
      <c r="M9" s="10"/>
      <c r="N9" s="10"/>
      <c r="O9" s="10"/>
      <c r="P9" s="10"/>
      <c r="Q9" s="11"/>
      <c r="R9" s="12">
        <f t="shared" si="1"/>
        <v>11</v>
      </c>
    </row>
    <row r="10" spans="2:20" ht="19.95" customHeight="1" x14ac:dyDescent="0.25">
      <c r="B10" s="69">
        <v>3</v>
      </c>
      <c r="C10" s="70" t="s">
        <v>4</v>
      </c>
      <c r="D10" s="38" t="s">
        <v>2</v>
      </c>
      <c r="E10" s="13">
        <v>3</v>
      </c>
      <c r="F10" s="14">
        <v>2</v>
      </c>
      <c r="G10" s="14">
        <v>2</v>
      </c>
      <c r="H10" s="14">
        <v>1</v>
      </c>
      <c r="I10" s="14">
        <v>10</v>
      </c>
      <c r="J10" s="14"/>
      <c r="K10" s="14"/>
      <c r="L10" s="14"/>
      <c r="M10" s="14"/>
      <c r="N10" s="14"/>
      <c r="O10" s="14"/>
      <c r="P10" s="14"/>
      <c r="Q10" s="15"/>
      <c r="R10" s="16">
        <f t="shared" ref="R10:R29" si="2">SUM(E10:Q10)</f>
        <v>18</v>
      </c>
    </row>
    <row r="11" spans="2:20" ht="19.95" customHeight="1" x14ac:dyDescent="0.25">
      <c r="B11" s="69"/>
      <c r="C11" s="71"/>
      <c r="D11" s="37" t="s">
        <v>3</v>
      </c>
      <c r="E11" s="9">
        <v>3</v>
      </c>
      <c r="F11" s="10">
        <v>4</v>
      </c>
      <c r="G11" s="10">
        <v>4</v>
      </c>
      <c r="H11" s="10">
        <v>4</v>
      </c>
      <c r="I11" s="10">
        <v>9</v>
      </c>
      <c r="J11" s="10"/>
      <c r="K11" s="10"/>
      <c r="L11" s="10"/>
      <c r="M11" s="10"/>
      <c r="N11" s="10"/>
      <c r="O11" s="10"/>
      <c r="P11" s="10"/>
      <c r="Q11" s="11"/>
      <c r="R11" s="12">
        <f t="shared" si="2"/>
        <v>24</v>
      </c>
      <c r="T11" s="57"/>
    </row>
    <row r="12" spans="2:20" ht="19.95" customHeight="1" x14ac:dyDescent="0.25">
      <c r="B12" s="69">
        <v>4</v>
      </c>
      <c r="C12" s="70" t="s">
        <v>4</v>
      </c>
      <c r="D12" s="38" t="s">
        <v>2</v>
      </c>
      <c r="E12" s="13"/>
      <c r="F12" s="14"/>
      <c r="G12" s="14"/>
      <c r="H12" s="14"/>
      <c r="I12" s="14"/>
      <c r="J12" s="14"/>
      <c r="K12" s="14"/>
      <c r="L12" s="14"/>
      <c r="M12" s="14"/>
      <c r="N12" s="14"/>
      <c r="O12" s="14"/>
      <c r="P12" s="14"/>
      <c r="Q12" s="15"/>
      <c r="R12" s="16">
        <f t="shared" si="2"/>
        <v>0</v>
      </c>
    </row>
    <row r="13" spans="2:20" ht="19.95" customHeight="1" x14ac:dyDescent="0.25">
      <c r="B13" s="69"/>
      <c r="C13" s="71"/>
      <c r="D13" s="37" t="s">
        <v>3</v>
      </c>
      <c r="E13" s="9"/>
      <c r="F13" s="10"/>
      <c r="G13" s="10"/>
      <c r="H13" s="10"/>
      <c r="I13" s="10"/>
      <c r="J13" s="10"/>
      <c r="K13" s="10"/>
      <c r="L13" s="10"/>
      <c r="M13" s="10"/>
      <c r="N13" s="10"/>
      <c r="O13" s="10"/>
      <c r="P13" s="10"/>
      <c r="Q13" s="11"/>
      <c r="R13" s="12">
        <f t="shared" si="2"/>
        <v>0</v>
      </c>
    </row>
    <row r="14" spans="2:20" ht="19.95" customHeight="1" x14ac:dyDescent="0.25">
      <c r="B14" s="69">
        <v>5</v>
      </c>
      <c r="C14" s="70" t="s">
        <v>4</v>
      </c>
      <c r="D14" s="39" t="s">
        <v>2</v>
      </c>
      <c r="E14" s="13"/>
      <c r="F14" s="14"/>
      <c r="G14" s="14"/>
      <c r="H14" s="14"/>
      <c r="I14" s="14"/>
      <c r="J14" s="14"/>
      <c r="K14" s="14"/>
      <c r="L14" s="14"/>
      <c r="M14" s="14"/>
      <c r="N14" s="14"/>
      <c r="O14" s="14"/>
      <c r="P14" s="14"/>
      <c r="Q14" s="15"/>
      <c r="R14" s="16">
        <f t="shared" si="2"/>
        <v>0</v>
      </c>
    </row>
    <row r="15" spans="2:20" ht="19.95" customHeight="1" x14ac:dyDescent="0.25">
      <c r="B15" s="69"/>
      <c r="C15" s="71"/>
      <c r="D15" s="37" t="s">
        <v>3</v>
      </c>
      <c r="E15" s="9"/>
      <c r="F15" s="10"/>
      <c r="G15" s="10"/>
      <c r="H15" s="10"/>
      <c r="I15" s="10"/>
      <c r="J15" s="10"/>
      <c r="K15" s="10"/>
      <c r="L15" s="10"/>
      <c r="M15" s="10"/>
      <c r="N15" s="10"/>
      <c r="O15" s="10"/>
      <c r="P15" s="10"/>
      <c r="Q15" s="11"/>
      <c r="R15" s="12">
        <f t="shared" si="2"/>
        <v>0</v>
      </c>
    </row>
    <row r="16" spans="2:20" ht="19.95" customHeight="1" x14ac:dyDescent="0.25">
      <c r="B16" s="69">
        <v>6</v>
      </c>
      <c r="C16" s="70" t="s">
        <v>4</v>
      </c>
      <c r="D16" s="39" t="s">
        <v>2</v>
      </c>
      <c r="E16" s="13"/>
      <c r="F16" s="14"/>
      <c r="G16" s="14"/>
      <c r="H16" s="14"/>
      <c r="I16" s="14"/>
      <c r="J16" s="14"/>
      <c r="K16" s="14"/>
      <c r="L16" s="14"/>
      <c r="M16" s="14"/>
      <c r="N16" s="14"/>
      <c r="O16" s="14"/>
      <c r="P16" s="14"/>
      <c r="Q16" s="15"/>
      <c r="R16" s="16">
        <f t="shared" si="2"/>
        <v>0</v>
      </c>
    </row>
    <row r="17" spans="2:20" ht="19.95" customHeight="1" x14ac:dyDescent="0.25">
      <c r="B17" s="69"/>
      <c r="C17" s="71"/>
      <c r="D17" s="37" t="s">
        <v>3</v>
      </c>
      <c r="E17" s="9"/>
      <c r="F17" s="10"/>
      <c r="G17" s="10"/>
      <c r="H17" s="10"/>
      <c r="I17" s="10"/>
      <c r="J17" s="10"/>
      <c r="K17" s="10"/>
      <c r="L17" s="10"/>
      <c r="M17" s="10"/>
      <c r="N17" s="10"/>
      <c r="O17" s="10"/>
      <c r="P17" s="10"/>
      <c r="Q17" s="11"/>
      <c r="R17" s="12">
        <f t="shared" si="2"/>
        <v>0</v>
      </c>
      <c r="T17" s="58"/>
    </row>
    <row r="18" spans="2:20" ht="19.95" customHeight="1" x14ac:dyDescent="0.25">
      <c r="B18" s="69">
        <v>7</v>
      </c>
      <c r="C18" s="70" t="s">
        <v>4</v>
      </c>
      <c r="D18" s="39" t="s">
        <v>2</v>
      </c>
      <c r="E18" s="13"/>
      <c r="F18" s="14"/>
      <c r="G18" s="14"/>
      <c r="H18" s="14"/>
      <c r="I18" s="14"/>
      <c r="J18" s="14"/>
      <c r="K18" s="14"/>
      <c r="L18" s="14"/>
      <c r="M18" s="14"/>
      <c r="N18" s="14"/>
      <c r="O18" s="14"/>
      <c r="P18" s="14"/>
      <c r="Q18" s="15"/>
      <c r="R18" s="16">
        <f t="shared" si="2"/>
        <v>0</v>
      </c>
    </row>
    <row r="19" spans="2:20" ht="19.95" customHeight="1" x14ac:dyDescent="0.25">
      <c r="B19" s="69"/>
      <c r="C19" s="71"/>
      <c r="D19" s="37" t="s">
        <v>3</v>
      </c>
      <c r="E19" s="9"/>
      <c r="F19" s="10"/>
      <c r="G19" s="10"/>
      <c r="H19" s="10"/>
      <c r="I19" s="10"/>
      <c r="J19" s="10"/>
      <c r="K19" s="10"/>
      <c r="L19" s="10"/>
      <c r="M19" s="10"/>
      <c r="N19" s="10"/>
      <c r="O19" s="10"/>
      <c r="P19" s="10"/>
      <c r="Q19" s="11"/>
      <c r="R19" s="12">
        <f t="shared" si="2"/>
        <v>0</v>
      </c>
    </row>
    <row r="20" spans="2:20" ht="19.95" customHeight="1" x14ac:dyDescent="0.25">
      <c r="B20" s="69">
        <v>8</v>
      </c>
      <c r="C20" s="70" t="s">
        <v>4</v>
      </c>
      <c r="D20" s="39" t="s">
        <v>2</v>
      </c>
      <c r="E20" s="13"/>
      <c r="F20" s="14"/>
      <c r="G20" s="14"/>
      <c r="H20" s="14"/>
      <c r="I20" s="14"/>
      <c r="J20" s="14"/>
      <c r="K20" s="14"/>
      <c r="L20" s="14"/>
      <c r="M20" s="14"/>
      <c r="N20" s="14"/>
      <c r="O20" s="14"/>
      <c r="P20" s="14"/>
      <c r="Q20" s="15"/>
      <c r="R20" s="16">
        <f t="shared" si="2"/>
        <v>0</v>
      </c>
      <c r="T20" s="58"/>
    </row>
    <row r="21" spans="2:20" ht="19.95" customHeight="1" x14ac:dyDescent="0.25">
      <c r="B21" s="69"/>
      <c r="C21" s="71"/>
      <c r="D21" s="37" t="s">
        <v>3</v>
      </c>
      <c r="E21" s="9"/>
      <c r="F21" s="10"/>
      <c r="G21" s="10"/>
      <c r="H21" s="10"/>
      <c r="I21" s="10"/>
      <c r="J21" s="10"/>
      <c r="K21" s="10"/>
      <c r="L21" s="10"/>
      <c r="M21" s="10"/>
      <c r="N21" s="10"/>
      <c r="O21" s="10"/>
      <c r="P21" s="10"/>
      <c r="Q21" s="11"/>
      <c r="R21" s="12">
        <f t="shared" si="2"/>
        <v>0</v>
      </c>
      <c r="T21" s="58"/>
    </row>
    <row r="22" spans="2:20" ht="19.95" customHeight="1" x14ac:dyDescent="0.25">
      <c r="B22" s="69">
        <v>9</v>
      </c>
      <c r="C22" s="70" t="s">
        <v>4</v>
      </c>
      <c r="D22" s="39" t="s">
        <v>2</v>
      </c>
      <c r="E22" s="13"/>
      <c r="F22" s="14"/>
      <c r="G22" s="14"/>
      <c r="H22" s="14"/>
      <c r="I22" s="14"/>
      <c r="J22" s="14"/>
      <c r="K22" s="14"/>
      <c r="L22" s="14"/>
      <c r="M22" s="14"/>
      <c r="N22" s="14"/>
      <c r="O22" s="14"/>
      <c r="P22" s="14"/>
      <c r="Q22" s="15"/>
      <c r="R22" s="16">
        <f t="shared" si="2"/>
        <v>0</v>
      </c>
    </row>
    <row r="23" spans="2:20" ht="19.95" customHeight="1" x14ac:dyDescent="0.25">
      <c r="B23" s="69"/>
      <c r="C23" s="71"/>
      <c r="D23" s="37" t="s">
        <v>3</v>
      </c>
      <c r="E23" s="9"/>
      <c r="F23" s="10"/>
      <c r="G23" s="10"/>
      <c r="H23" s="10"/>
      <c r="I23" s="10"/>
      <c r="J23" s="10"/>
      <c r="K23" s="10"/>
      <c r="L23" s="10"/>
      <c r="M23" s="10"/>
      <c r="N23" s="10"/>
      <c r="O23" s="10"/>
      <c r="P23" s="10"/>
      <c r="Q23" s="11"/>
      <c r="R23" s="12">
        <f t="shared" si="2"/>
        <v>0</v>
      </c>
    </row>
    <row r="24" spans="2:20" ht="19.95" customHeight="1" x14ac:dyDescent="0.25">
      <c r="B24" s="69">
        <v>10</v>
      </c>
      <c r="C24" s="70" t="s">
        <v>4</v>
      </c>
      <c r="D24" s="39" t="s">
        <v>2</v>
      </c>
      <c r="E24" s="13"/>
      <c r="F24" s="14"/>
      <c r="G24" s="14"/>
      <c r="H24" s="14"/>
      <c r="I24" s="14"/>
      <c r="J24" s="14"/>
      <c r="K24" s="14"/>
      <c r="L24" s="14"/>
      <c r="M24" s="14"/>
      <c r="N24" s="14"/>
      <c r="O24" s="14"/>
      <c r="P24" s="14"/>
      <c r="Q24" s="15"/>
      <c r="R24" s="16">
        <f t="shared" si="2"/>
        <v>0</v>
      </c>
    </row>
    <row r="25" spans="2:20" ht="19.95" customHeight="1" x14ac:dyDescent="0.25">
      <c r="B25" s="69"/>
      <c r="C25" s="71"/>
      <c r="D25" s="37" t="s">
        <v>3</v>
      </c>
      <c r="E25" s="9"/>
      <c r="F25" s="10"/>
      <c r="G25" s="10"/>
      <c r="H25" s="10"/>
      <c r="I25" s="10"/>
      <c r="J25" s="10"/>
      <c r="K25" s="10"/>
      <c r="L25" s="10"/>
      <c r="M25" s="10"/>
      <c r="N25" s="10"/>
      <c r="O25" s="10"/>
      <c r="P25" s="10"/>
      <c r="Q25" s="11"/>
      <c r="R25" s="12">
        <f t="shared" si="2"/>
        <v>0</v>
      </c>
    </row>
    <row r="26" spans="2:20" ht="19.95" customHeight="1" x14ac:dyDescent="0.25">
      <c r="B26" s="69">
        <v>11</v>
      </c>
      <c r="C26" s="70" t="s">
        <v>4</v>
      </c>
      <c r="D26" s="39" t="s">
        <v>2</v>
      </c>
      <c r="E26" s="13"/>
      <c r="F26" s="14"/>
      <c r="G26" s="14"/>
      <c r="H26" s="14"/>
      <c r="I26" s="14"/>
      <c r="J26" s="14"/>
      <c r="K26" s="14"/>
      <c r="L26" s="14"/>
      <c r="M26" s="14"/>
      <c r="N26" s="14"/>
      <c r="O26" s="14"/>
      <c r="P26" s="14"/>
      <c r="Q26" s="15"/>
      <c r="R26" s="16">
        <f t="shared" si="2"/>
        <v>0</v>
      </c>
    </row>
    <row r="27" spans="2:20" ht="19.95" customHeight="1" x14ac:dyDescent="0.25">
      <c r="B27" s="69"/>
      <c r="C27" s="71"/>
      <c r="D27" s="37" t="s">
        <v>3</v>
      </c>
      <c r="E27" s="9"/>
      <c r="F27" s="10"/>
      <c r="G27" s="10"/>
      <c r="H27" s="10"/>
      <c r="I27" s="10"/>
      <c r="J27" s="10"/>
      <c r="K27" s="10"/>
      <c r="L27" s="10"/>
      <c r="M27" s="10"/>
      <c r="N27" s="10"/>
      <c r="O27" s="10"/>
      <c r="P27" s="10"/>
      <c r="Q27" s="11"/>
      <c r="R27" s="12">
        <f t="shared" si="2"/>
        <v>0</v>
      </c>
    </row>
    <row r="28" spans="2:20" ht="19.95" customHeight="1" x14ac:dyDescent="0.25">
      <c r="B28" s="69">
        <v>12</v>
      </c>
      <c r="C28" s="70" t="s">
        <v>4</v>
      </c>
      <c r="D28" s="39" t="s">
        <v>2</v>
      </c>
      <c r="E28" s="13"/>
      <c r="F28" s="14"/>
      <c r="G28" s="14"/>
      <c r="H28" s="14"/>
      <c r="I28" s="14"/>
      <c r="J28" s="14"/>
      <c r="K28" s="14"/>
      <c r="L28" s="14"/>
      <c r="M28" s="14"/>
      <c r="N28" s="14"/>
      <c r="O28" s="14"/>
      <c r="P28" s="14"/>
      <c r="Q28" s="15"/>
      <c r="R28" s="16">
        <f t="shared" si="2"/>
        <v>0</v>
      </c>
    </row>
    <row r="29" spans="2:20" ht="19.95" customHeight="1" x14ac:dyDescent="0.25">
      <c r="B29" s="69"/>
      <c r="C29" s="71"/>
      <c r="D29" s="37" t="s">
        <v>3</v>
      </c>
      <c r="E29" s="9"/>
      <c r="F29" s="10"/>
      <c r="G29" s="10"/>
      <c r="H29" s="10"/>
      <c r="I29" s="10"/>
      <c r="J29" s="10"/>
      <c r="K29" s="10"/>
      <c r="L29" s="10"/>
      <c r="M29" s="10"/>
      <c r="N29" s="10"/>
      <c r="O29" s="10"/>
      <c r="P29" s="10"/>
      <c r="Q29" s="11"/>
      <c r="R29" s="12">
        <f t="shared" si="2"/>
        <v>0</v>
      </c>
    </row>
    <row r="30" spans="2:20" ht="19.95" customHeight="1" x14ac:dyDescent="0.25">
      <c r="B30" s="69">
        <v>13</v>
      </c>
      <c r="C30" s="70" t="s">
        <v>4</v>
      </c>
      <c r="D30" s="39" t="s">
        <v>2</v>
      </c>
      <c r="E30" s="13"/>
      <c r="F30" s="14"/>
      <c r="G30" s="14"/>
      <c r="H30" s="14"/>
      <c r="I30" s="14"/>
      <c r="J30" s="14"/>
      <c r="K30" s="14"/>
      <c r="L30" s="14"/>
      <c r="M30" s="14"/>
      <c r="N30" s="14"/>
      <c r="O30" s="14"/>
      <c r="P30" s="14"/>
      <c r="Q30" s="15"/>
      <c r="R30" s="16">
        <f t="shared" ref="R30:R31" si="3">SUM(E30:Q30)</f>
        <v>0</v>
      </c>
    </row>
    <row r="31" spans="2:20" ht="19.95" customHeight="1" x14ac:dyDescent="0.25">
      <c r="B31" s="69"/>
      <c r="C31" s="71"/>
      <c r="D31" s="37" t="s">
        <v>3</v>
      </c>
      <c r="E31" s="9"/>
      <c r="F31" s="10"/>
      <c r="G31" s="10"/>
      <c r="H31" s="10"/>
      <c r="I31" s="10"/>
      <c r="J31" s="10"/>
      <c r="K31" s="10"/>
      <c r="L31" s="10"/>
      <c r="M31" s="10"/>
      <c r="N31" s="10"/>
      <c r="O31" s="10"/>
      <c r="P31" s="10"/>
      <c r="Q31" s="11"/>
      <c r="R31" s="12">
        <f t="shared" si="3"/>
        <v>0</v>
      </c>
    </row>
    <row r="32" spans="2:20" ht="19.95" customHeight="1" x14ac:dyDescent="0.25">
      <c r="B32" s="69">
        <v>14</v>
      </c>
      <c r="C32" s="70" t="s">
        <v>4</v>
      </c>
      <c r="D32" s="39" t="s">
        <v>2</v>
      </c>
      <c r="E32" s="13"/>
      <c r="F32" s="14"/>
      <c r="G32" s="14"/>
      <c r="H32" s="14"/>
      <c r="I32" s="14"/>
      <c r="J32" s="14"/>
      <c r="K32" s="14"/>
      <c r="L32" s="14"/>
      <c r="M32" s="14"/>
      <c r="N32" s="14"/>
      <c r="O32" s="14"/>
      <c r="P32" s="14"/>
      <c r="Q32" s="15"/>
      <c r="R32" s="16">
        <f t="shared" si="1"/>
        <v>0</v>
      </c>
    </row>
    <row r="33" spans="2:20" ht="19.95" customHeight="1" x14ac:dyDescent="0.25">
      <c r="B33" s="69"/>
      <c r="C33" s="71"/>
      <c r="D33" s="40" t="s">
        <v>3</v>
      </c>
      <c r="E33" s="9"/>
      <c r="F33" s="10"/>
      <c r="G33" s="10"/>
      <c r="H33" s="10"/>
      <c r="I33" s="10"/>
      <c r="J33" s="10"/>
      <c r="K33" s="10"/>
      <c r="L33" s="10"/>
      <c r="M33" s="10"/>
      <c r="N33" s="10"/>
      <c r="O33" s="10"/>
      <c r="P33" s="10"/>
      <c r="Q33" s="11"/>
      <c r="R33" s="12">
        <f t="shared" si="1"/>
        <v>0</v>
      </c>
    </row>
    <row r="34" spans="2:20" ht="19.95" customHeight="1" x14ac:dyDescent="0.25">
      <c r="B34" s="69">
        <v>15</v>
      </c>
      <c r="C34" s="70" t="s">
        <v>4</v>
      </c>
      <c r="D34" s="39" t="s">
        <v>2</v>
      </c>
      <c r="E34" s="13"/>
      <c r="F34" s="14"/>
      <c r="G34" s="14"/>
      <c r="H34" s="14"/>
      <c r="I34" s="14"/>
      <c r="J34" s="14"/>
      <c r="K34" s="14"/>
      <c r="L34" s="14"/>
      <c r="M34" s="14"/>
      <c r="N34" s="14"/>
      <c r="O34" s="14"/>
      <c r="P34" s="14"/>
      <c r="Q34" s="15"/>
      <c r="R34" s="16">
        <f t="shared" si="1"/>
        <v>0</v>
      </c>
    </row>
    <row r="35" spans="2:20" ht="19.95" customHeight="1" x14ac:dyDescent="0.25">
      <c r="B35" s="69"/>
      <c r="C35" s="71"/>
      <c r="D35" s="40" t="s">
        <v>3</v>
      </c>
      <c r="E35" s="9"/>
      <c r="F35" s="10"/>
      <c r="G35" s="10"/>
      <c r="H35" s="10"/>
      <c r="I35" s="10"/>
      <c r="J35" s="10"/>
      <c r="K35" s="10"/>
      <c r="L35" s="10"/>
      <c r="M35" s="10"/>
      <c r="N35" s="10"/>
      <c r="O35" s="10"/>
      <c r="P35" s="10"/>
      <c r="Q35" s="11"/>
      <c r="R35" s="12">
        <f t="shared" si="1"/>
        <v>0</v>
      </c>
    </row>
    <row r="36" spans="2:20" ht="19.95" customHeight="1" x14ac:dyDescent="0.25">
      <c r="B36" s="69">
        <v>16</v>
      </c>
      <c r="C36" s="70" t="s">
        <v>4</v>
      </c>
      <c r="D36" s="39" t="s">
        <v>2</v>
      </c>
      <c r="E36" s="13"/>
      <c r="F36" s="14"/>
      <c r="G36" s="14"/>
      <c r="H36" s="14"/>
      <c r="I36" s="14"/>
      <c r="J36" s="14"/>
      <c r="K36" s="14"/>
      <c r="L36" s="14"/>
      <c r="M36" s="14"/>
      <c r="N36" s="14"/>
      <c r="O36" s="14"/>
      <c r="P36" s="14"/>
      <c r="Q36" s="15"/>
      <c r="R36" s="16">
        <f t="shared" si="1"/>
        <v>0</v>
      </c>
    </row>
    <row r="37" spans="2:20" ht="19.95" customHeight="1" x14ac:dyDescent="0.25">
      <c r="B37" s="69"/>
      <c r="C37" s="71"/>
      <c r="D37" s="40" t="s">
        <v>3</v>
      </c>
      <c r="E37" s="9"/>
      <c r="F37" s="10"/>
      <c r="G37" s="10"/>
      <c r="H37" s="10"/>
      <c r="I37" s="10"/>
      <c r="J37" s="10"/>
      <c r="K37" s="10"/>
      <c r="L37" s="10"/>
      <c r="M37" s="10"/>
      <c r="N37" s="10"/>
      <c r="O37" s="10"/>
      <c r="P37" s="10"/>
      <c r="Q37" s="11"/>
      <c r="R37" s="12">
        <f t="shared" si="1"/>
        <v>0</v>
      </c>
    </row>
    <row r="38" spans="2:20" ht="19.95" customHeight="1" x14ac:dyDescent="0.25">
      <c r="B38" s="69">
        <v>17</v>
      </c>
      <c r="C38" s="70" t="s">
        <v>4</v>
      </c>
      <c r="D38" s="39" t="s">
        <v>2</v>
      </c>
      <c r="E38" s="13"/>
      <c r="F38" s="14"/>
      <c r="G38" s="14"/>
      <c r="H38" s="14"/>
      <c r="I38" s="14"/>
      <c r="J38" s="14"/>
      <c r="K38" s="14"/>
      <c r="L38" s="14"/>
      <c r="M38" s="14"/>
      <c r="N38" s="14"/>
      <c r="O38" s="14"/>
      <c r="P38" s="14"/>
      <c r="Q38" s="15"/>
      <c r="R38" s="16">
        <f t="shared" si="1"/>
        <v>0</v>
      </c>
    </row>
    <row r="39" spans="2:20" ht="19.95" customHeight="1" x14ac:dyDescent="0.25">
      <c r="B39" s="69"/>
      <c r="C39" s="71"/>
      <c r="D39" s="40" t="s">
        <v>3</v>
      </c>
      <c r="E39" s="9"/>
      <c r="F39" s="10"/>
      <c r="G39" s="10"/>
      <c r="H39" s="10"/>
      <c r="I39" s="10"/>
      <c r="J39" s="10"/>
      <c r="K39" s="10"/>
      <c r="L39" s="10"/>
      <c r="M39" s="10"/>
      <c r="N39" s="10"/>
      <c r="O39" s="10"/>
      <c r="P39" s="10"/>
      <c r="Q39" s="11"/>
      <c r="R39" s="12">
        <f t="shared" si="1"/>
        <v>0</v>
      </c>
    </row>
    <row r="40" spans="2:20" ht="19.95" customHeight="1" x14ac:dyDescent="0.25">
      <c r="B40" s="69">
        <v>18</v>
      </c>
      <c r="C40" s="70" t="s">
        <v>4</v>
      </c>
      <c r="D40" s="39" t="s">
        <v>2</v>
      </c>
      <c r="E40" s="13"/>
      <c r="F40" s="14"/>
      <c r="G40" s="14"/>
      <c r="H40" s="14"/>
      <c r="I40" s="14"/>
      <c r="J40" s="14"/>
      <c r="K40" s="14"/>
      <c r="L40" s="14"/>
      <c r="M40" s="14"/>
      <c r="N40" s="14"/>
      <c r="O40" s="14"/>
      <c r="P40" s="14"/>
      <c r="Q40" s="15"/>
      <c r="R40" s="16">
        <f t="shared" si="1"/>
        <v>0</v>
      </c>
    </row>
    <row r="41" spans="2:20" ht="19.95" customHeight="1" x14ac:dyDescent="0.25">
      <c r="B41" s="69"/>
      <c r="C41" s="71"/>
      <c r="D41" s="40" t="s">
        <v>3</v>
      </c>
      <c r="E41" s="9"/>
      <c r="F41" s="10"/>
      <c r="G41" s="10"/>
      <c r="H41" s="10"/>
      <c r="I41" s="10"/>
      <c r="J41" s="10"/>
      <c r="K41" s="10"/>
      <c r="L41" s="10"/>
      <c r="M41" s="10"/>
      <c r="N41" s="10"/>
      <c r="O41" s="10"/>
      <c r="P41" s="10"/>
      <c r="Q41" s="11"/>
      <c r="R41" s="12">
        <f t="shared" si="1"/>
        <v>0</v>
      </c>
    </row>
    <row r="42" spans="2:20" ht="19.95" customHeight="1" x14ac:dyDescent="0.25">
      <c r="B42" s="69">
        <v>19</v>
      </c>
      <c r="C42" s="70" t="s">
        <v>4</v>
      </c>
      <c r="D42" s="39" t="s">
        <v>2</v>
      </c>
      <c r="E42" s="13"/>
      <c r="F42" s="14"/>
      <c r="G42" s="14"/>
      <c r="H42" s="14"/>
      <c r="I42" s="14"/>
      <c r="J42" s="14"/>
      <c r="K42" s="14"/>
      <c r="L42" s="14"/>
      <c r="M42" s="14"/>
      <c r="N42" s="14"/>
      <c r="O42" s="14"/>
      <c r="P42" s="14"/>
      <c r="Q42" s="15"/>
      <c r="R42" s="16">
        <f t="shared" si="1"/>
        <v>0</v>
      </c>
      <c r="T42" s="58" t="s">
        <v>21</v>
      </c>
    </row>
    <row r="43" spans="2:20" ht="19.95" customHeight="1" x14ac:dyDescent="0.25">
      <c r="B43" s="69"/>
      <c r="C43" s="73"/>
      <c r="D43" s="40" t="s">
        <v>3</v>
      </c>
      <c r="E43" s="9"/>
      <c r="F43" s="10"/>
      <c r="G43" s="10"/>
      <c r="H43" s="10"/>
      <c r="I43" s="10"/>
      <c r="J43" s="10"/>
      <c r="K43" s="10"/>
      <c r="L43" s="10"/>
      <c r="M43" s="10"/>
      <c r="N43" s="10"/>
      <c r="O43" s="10"/>
      <c r="P43" s="10"/>
      <c r="Q43" s="11"/>
      <c r="R43" s="12">
        <f t="shared" si="1"/>
        <v>0</v>
      </c>
      <c r="T43" s="58" t="s">
        <v>22</v>
      </c>
    </row>
    <row r="44" spans="2:20" ht="19.95" customHeight="1" x14ac:dyDescent="0.25">
      <c r="B44" s="69">
        <v>20</v>
      </c>
      <c r="C44" s="74" t="s">
        <v>4</v>
      </c>
      <c r="D44" s="39" t="s">
        <v>2</v>
      </c>
      <c r="E44" s="13"/>
      <c r="F44" s="14"/>
      <c r="G44" s="14"/>
      <c r="H44" s="14"/>
      <c r="I44" s="14"/>
      <c r="J44" s="14"/>
      <c r="K44" s="14"/>
      <c r="L44" s="14"/>
      <c r="M44" s="14"/>
      <c r="N44" s="14"/>
      <c r="O44" s="14"/>
      <c r="P44" s="14"/>
      <c r="Q44" s="15"/>
      <c r="R44" s="16">
        <f t="shared" si="1"/>
        <v>0</v>
      </c>
    </row>
    <row r="45" spans="2:20" ht="19.95" customHeight="1" thickBot="1" x14ac:dyDescent="0.3">
      <c r="B45" s="72"/>
      <c r="C45" s="75"/>
      <c r="D45" s="41" t="s">
        <v>3</v>
      </c>
      <c r="E45" s="9"/>
      <c r="F45" s="10"/>
      <c r="G45" s="10"/>
      <c r="H45" s="10"/>
      <c r="I45" s="10"/>
      <c r="J45" s="10"/>
      <c r="K45" s="10"/>
      <c r="L45" s="10"/>
      <c r="M45" s="10"/>
      <c r="N45" s="10"/>
      <c r="O45" s="10"/>
      <c r="P45" s="10"/>
      <c r="Q45" s="11"/>
      <c r="R45" s="17">
        <f t="shared" si="1"/>
        <v>0</v>
      </c>
    </row>
    <row r="46" spans="2:20" ht="19.95" customHeight="1" x14ac:dyDescent="0.25">
      <c r="B46" s="2"/>
      <c r="C46" s="52" t="s">
        <v>5</v>
      </c>
      <c r="D46" s="18" t="s">
        <v>2</v>
      </c>
      <c r="E46" s="44">
        <f t="array" ref="E46">SUM(E6:E45 *(MOD(ROW(E6:E45), 2) = 0))</f>
        <v>11</v>
      </c>
      <c r="F46" s="44">
        <f t="array" ref="F46">SUM(F6:F45 *(MOD(ROW(F6:F45), 2) = 0))</f>
        <v>6</v>
      </c>
      <c r="G46" s="44">
        <f t="array" ref="G46">SUM(G6:G45 *(MOD(ROW(G6:G45), 2) = 0))</f>
        <v>9</v>
      </c>
      <c r="H46" s="44">
        <f t="array" ref="H46">SUM(H6:H45 *(MOD(ROW(H6:H45), 2) = 0))</f>
        <v>4</v>
      </c>
      <c r="I46" s="44">
        <f t="array" ref="I46">SUM(I6:I45 *(MOD(ROW(I6:I45), 2) = 0))</f>
        <v>10</v>
      </c>
      <c r="J46" s="44">
        <f t="array" ref="J46">SUM(J6:J45 *(MOD(ROW(J6:J45), 2) = 0))</f>
        <v>0</v>
      </c>
      <c r="K46" s="44">
        <f t="array" ref="K46">SUM(K6:K45 *(MOD(ROW(K6:K45), 2) = 0))</f>
        <v>0</v>
      </c>
      <c r="L46" s="44">
        <f t="array" ref="L46">SUM(L6:L45 *(MOD(ROW(L6:L45), 2) = 0))</f>
        <v>0</v>
      </c>
      <c r="M46" s="44">
        <f t="array" ref="M46">SUM(M6:M45 *(MOD(ROW(M6:M45), 2) = 0))</f>
        <v>0</v>
      </c>
      <c r="N46" s="44">
        <f t="array" ref="N46">SUM(N6:N45 *(MOD(ROW(N6:N45), 2) = 0))</f>
        <v>0</v>
      </c>
      <c r="O46" s="44">
        <f t="array" ref="O46">SUM(O6:O45 *(MOD(ROW(O6:O45), 2) = 0))</f>
        <v>0</v>
      </c>
      <c r="P46" s="44">
        <f t="array" ref="P46">SUM(P6:P45 *(MOD(ROW(P6:P45), 2) = 0))</f>
        <v>0</v>
      </c>
      <c r="Q46" s="44">
        <f t="array" ref="Q46">SUM(Q6:Q45 *(MOD(ROW(Q6:Q45), 2) = 0))</f>
        <v>0</v>
      </c>
      <c r="R46" s="45">
        <f>SUM(E46:Q46)</f>
        <v>40</v>
      </c>
    </row>
    <row r="47" spans="2:20" ht="19.95" customHeight="1" x14ac:dyDescent="0.25">
      <c r="B47" s="3"/>
      <c r="C47" s="53" t="s">
        <v>10</v>
      </c>
      <c r="D47" s="19" t="s">
        <v>2</v>
      </c>
      <c r="E47" s="46">
        <f>E46</f>
        <v>11</v>
      </c>
      <c r="F47" s="46">
        <f>IF(F46=0,NA(),_xlfn.AGGREGATE(4,6,E47)+F46)</f>
        <v>17</v>
      </c>
      <c r="G47" s="46">
        <f>IF(G46=0,NA(),_xlfn.AGGREGATE(4,6,E47:F47)+G46)</f>
        <v>26</v>
      </c>
      <c r="H47" s="46">
        <f>IF(H46=0,NA(),_xlfn.AGGREGATE(4,6,E47:G47)+H46)</f>
        <v>30</v>
      </c>
      <c r="I47" s="46">
        <f>IF(I46=0,NA(),_xlfn.AGGREGATE(4,6,E47:H47)+I46)</f>
        <v>40</v>
      </c>
      <c r="J47" s="46" t="e">
        <f>IF(J46=0,NA(),_xlfn.AGGREGATE(4,6,E47:I47)+J46)</f>
        <v>#N/A</v>
      </c>
      <c r="K47" s="46" t="e">
        <f>IF(K46=0,NA(),_xlfn.AGGREGATE(4,6,E47:J47)+K46)</f>
        <v>#N/A</v>
      </c>
      <c r="L47" s="46" t="e">
        <f>IF(L46=0,NA(),_xlfn.AGGREGATE(4,6,E47:K47)+L46)</f>
        <v>#N/A</v>
      </c>
      <c r="M47" s="46" t="e">
        <f>IF(M46=0,NA(),_xlfn.AGGREGATE(4,6,E47:L47)+M46)</f>
        <v>#N/A</v>
      </c>
      <c r="N47" s="46" t="e">
        <f>IF(N46=0,NA(),_xlfn.AGGREGATE(4,6,E47:M47)+N46)</f>
        <v>#N/A</v>
      </c>
      <c r="O47" s="46" t="e">
        <f>IF(O46=0,NA(),_xlfn.AGGREGATE(4,6,E47:N47)+O46)</f>
        <v>#N/A</v>
      </c>
      <c r="P47" s="46" t="e">
        <f>IF(P46=0,NA(),_xlfn.AGGREGATE(4,6,E47:O47)+P46)</f>
        <v>#N/A</v>
      </c>
      <c r="Q47" s="46" t="e">
        <f>IF(Q46=0,NA(),_xlfn.AGGREGATE(4,6,E47:P47)+Q46)</f>
        <v>#N/A</v>
      </c>
      <c r="R47" s="47"/>
    </row>
    <row r="48" spans="2:20" ht="19.95" customHeight="1" x14ac:dyDescent="0.25">
      <c r="B48" s="3"/>
      <c r="C48" s="53" t="s">
        <v>6</v>
      </c>
      <c r="D48" s="19" t="s">
        <v>3</v>
      </c>
      <c r="E48" s="48">
        <f t="array" ref="E48">SUM(E6:E45 *(MOD(ROW(E6:E45), 2) = 1))</f>
        <v>11</v>
      </c>
      <c r="F48" s="48">
        <f t="array" ref="F48">SUM(F6:F45 *(MOD(ROW(F6:F45), 2) = 1))</f>
        <v>11</v>
      </c>
      <c r="G48" s="48">
        <f t="array" ref="G48">SUM(G6:G45 *(MOD(ROW(G6:G45), 2) = 1))</f>
        <v>12</v>
      </c>
      <c r="H48" s="48">
        <f t="array" ref="H48">SUM(H6:H45 *(MOD(ROW(H6:H45), 2) = 1))</f>
        <v>6</v>
      </c>
      <c r="I48" s="48" cm="1">
        <f t="array" ref="I48">SUM(I6:I45 *(MOD(ROW(I6:I45), 2) = 1))</f>
        <v>9</v>
      </c>
      <c r="J48" s="48">
        <f t="array" ref="J48">SUM(J6:J45 *(MOD(ROW(J6:J45), 2) = 1))</f>
        <v>0</v>
      </c>
      <c r="K48" s="48">
        <f t="array" ref="K48">SUM(K6:K45 *(MOD(ROW(K6:K45), 2) = 1))</f>
        <v>0</v>
      </c>
      <c r="L48" s="48">
        <f t="array" ref="L48">SUM(L6:L45 *(MOD(ROW(L6:L45), 2) = 1))</f>
        <v>0</v>
      </c>
      <c r="M48" s="48">
        <f t="array" ref="M48">SUM(M6:M45 *(MOD(ROW(M6:M45), 2) = 1))</f>
        <v>0</v>
      </c>
      <c r="N48" s="48">
        <f t="array" ref="N48">SUM(N6:N45 *(MOD(ROW(N6:N45), 2) = 1))</f>
        <v>0</v>
      </c>
      <c r="O48" s="48">
        <f t="array" ref="O48">SUM(O6:O45 *(MOD(ROW(O6:O45), 2) = 1))</f>
        <v>0</v>
      </c>
      <c r="P48" s="48">
        <f t="array" ref="P48">SUM(P6:P45 *(MOD(ROW(P6:P45), 2) = 1))</f>
        <v>0</v>
      </c>
      <c r="Q48" s="48">
        <f t="array" ref="Q48">SUM(Q6:Q45 *(MOD(ROW(Q6:Q45), 2) = 1))</f>
        <v>0</v>
      </c>
      <c r="R48" s="49">
        <f>SUM(E48:Q48)</f>
        <v>49</v>
      </c>
    </row>
    <row r="49" spans="2:18" ht="19.95" customHeight="1" thickBot="1" x14ac:dyDescent="0.3">
      <c r="B49" s="4"/>
      <c r="C49" s="54" t="s">
        <v>11</v>
      </c>
      <c r="D49" s="20" t="s">
        <v>3</v>
      </c>
      <c r="E49" s="50">
        <f>E48</f>
        <v>11</v>
      </c>
      <c r="F49" s="50">
        <f>IF(F48=0,NA(),_xlfn.AGGREGATE(4,6,E49)+F48)</f>
        <v>22</v>
      </c>
      <c r="G49" s="50">
        <f>IF(G48=0,NA(),_xlfn.AGGREGATE(4,6,E49:F49)+G48)</f>
        <v>34</v>
      </c>
      <c r="H49" s="50">
        <f>IF(H48=0,NA(),_xlfn.AGGREGATE(4,6,E49:G49)+H48)</f>
        <v>40</v>
      </c>
      <c r="I49" s="50">
        <f>IF(I48=0,NA(),_xlfn.AGGREGATE(4,6,E49:H49)+I48)</f>
        <v>49</v>
      </c>
      <c r="J49" s="50" t="e">
        <f>IF(J48=0,NA(),_xlfn.AGGREGATE(4,6,E49:I49)+J48)</f>
        <v>#N/A</v>
      </c>
      <c r="K49" s="50" t="e">
        <f>IF(K48=0,NA(),_xlfn.AGGREGATE(4,6,E49:J49)+K48)</f>
        <v>#N/A</v>
      </c>
      <c r="L49" s="50" t="e">
        <f>IF(L48=0,NA(),_xlfn.AGGREGATE(4,6,E49:K49)+L48)</f>
        <v>#N/A</v>
      </c>
      <c r="M49" s="50" t="e">
        <f>IF(M48=0,NA(),_xlfn.AGGREGATE(4,6,E49:L49)+M48)</f>
        <v>#N/A</v>
      </c>
      <c r="N49" s="50" t="e">
        <f>IF(N48=0,NA(),_xlfn.AGGREGATE(4,6,E49:M49)+N48)</f>
        <v>#N/A</v>
      </c>
      <c r="O49" s="50" t="e">
        <f>IF(O48=0,NA(),_xlfn.AGGREGATE(4,6,E49:N49)+O48)</f>
        <v>#N/A</v>
      </c>
      <c r="P49" s="50" t="e">
        <f>IF(P48=0,NA(),_xlfn.AGGREGATE(4,6,E49:O49)+P48)</f>
        <v>#N/A</v>
      </c>
      <c r="Q49" s="50" t="e">
        <f>IF(Q48=0,NA(),_xlfn.AGGREGATE(4,6,E49:P49)+Q48)</f>
        <v>#N/A</v>
      </c>
      <c r="R49" s="51"/>
    </row>
    <row r="50" spans="2:18" x14ac:dyDescent="0.25">
      <c r="B50" s="43"/>
      <c r="C50" s="43"/>
      <c r="D50" s="43"/>
      <c r="E50" s="43"/>
      <c r="F50" s="43"/>
      <c r="G50" s="43"/>
      <c r="H50" s="43"/>
      <c r="I50" s="43"/>
      <c r="J50" s="43"/>
      <c r="K50" s="43"/>
      <c r="L50" s="43"/>
      <c r="M50" s="43"/>
      <c r="N50" s="43"/>
      <c r="O50" s="43"/>
      <c r="P50" s="43"/>
      <c r="Q50" s="43"/>
      <c r="R50" s="43"/>
    </row>
    <row r="51" spans="2:18" x14ac:dyDescent="0.25">
      <c r="B51" s="43"/>
      <c r="C51" s="43"/>
      <c r="D51" s="43"/>
      <c r="E51" s="43"/>
      <c r="F51" s="43"/>
      <c r="G51" s="43"/>
      <c r="H51" s="43"/>
      <c r="I51" s="43"/>
      <c r="J51" s="43"/>
      <c r="K51" s="43"/>
      <c r="L51" s="43"/>
      <c r="M51" s="43"/>
      <c r="N51" s="43"/>
      <c r="O51" s="43"/>
      <c r="P51" s="43"/>
      <c r="Q51" s="43"/>
      <c r="R51" s="43"/>
    </row>
    <row r="52" spans="2:18" x14ac:dyDescent="0.25">
      <c r="B52" s="43"/>
      <c r="C52" s="43"/>
      <c r="D52" s="43"/>
      <c r="E52" s="43"/>
      <c r="F52" s="43"/>
      <c r="G52" s="43"/>
      <c r="H52" s="43"/>
      <c r="I52" s="43"/>
      <c r="J52" s="43"/>
      <c r="K52" s="43"/>
      <c r="L52" s="43"/>
      <c r="M52" s="43"/>
      <c r="N52" s="43"/>
      <c r="O52" s="43"/>
      <c r="P52" s="43"/>
      <c r="Q52" s="43"/>
      <c r="R52" s="43"/>
    </row>
    <row r="53" spans="2:18" x14ac:dyDescent="0.25">
      <c r="B53" s="43"/>
      <c r="C53" s="43"/>
      <c r="D53" s="43"/>
      <c r="E53" s="43"/>
      <c r="F53" s="43"/>
      <c r="G53" s="43"/>
      <c r="H53" s="43"/>
      <c r="I53" s="43"/>
      <c r="J53" s="43"/>
      <c r="K53" s="43"/>
      <c r="L53" s="43"/>
      <c r="M53" s="43"/>
      <c r="N53" s="43"/>
      <c r="O53" s="43"/>
      <c r="P53" s="43"/>
      <c r="Q53" s="43"/>
      <c r="R53" s="43"/>
    </row>
    <row r="54" spans="2:18" x14ac:dyDescent="0.25">
      <c r="B54" s="43"/>
      <c r="C54" s="43"/>
      <c r="D54" s="43"/>
      <c r="E54" s="43"/>
      <c r="F54" s="43"/>
      <c r="G54" s="43"/>
      <c r="H54" s="43"/>
      <c r="I54" s="43"/>
      <c r="J54" s="43"/>
      <c r="K54" s="43"/>
      <c r="L54" s="43"/>
      <c r="M54" s="43"/>
      <c r="N54" s="43"/>
      <c r="O54" s="43"/>
      <c r="P54" s="43"/>
      <c r="Q54" s="43"/>
      <c r="R54" s="43"/>
    </row>
    <row r="55" spans="2:18" x14ac:dyDescent="0.25">
      <c r="B55" s="43"/>
      <c r="C55" s="43"/>
      <c r="D55" s="43"/>
      <c r="E55" s="43"/>
      <c r="F55" s="43"/>
      <c r="G55" s="43"/>
      <c r="H55" s="43"/>
      <c r="I55" s="43"/>
      <c r="J55" s="43"/>
      <c r="K55" s="43"/>
      <c r="L55" s="43"/>
      <c r="M55" s="43"/>
      <c r="N55" s="43"/>
      <c r="O55" s="43"/>
      <c r="P55" s="43"/>
      <c r="Q55" s="43"/>
      <c r="R55" s="43"/>
    </row>
    <row r="56" spans="2:18" x14ac:dyDescent="0.25">
      <c r="B56" s="43"/>
      <c r="C56" s="43"/>
      <c r="D56" s="43"/>
      <c r="E56" s="43"/>
      <c r="F56" s="43"/>
      <c r="G56" s="43"/>
      <c r="H56" s="43"/>
      <c r="I56" s="43"/>
      <c r="J56" s="43"/>
      <c r="K56" s="43"/>
      <c r="L56" s="43"/>
      <c r="M56" s="43"/>
      <c r="N56" s="43"/>
      <c r="O56" s="43"/>
      <c r="P56" s="43"/>
      <c r="Q56" s="43"/>
      <c r="R56" s="43"/>
    </row>
    <row r="57" spans="2:18" x14ac:dyDescent="0.25">
      <c r="B57" s="43"/>
      <c r="C57" s="43"/>
      <c r="D57" s="43"/>
      <c r="E57" s="43"/>
      <c r="F57" s="43"/>
      <c r="G57" s="43"/>
      <c r="H57" s="43"/>
      <c r="I57" s="43"/>
      <c r="J57" s="43"/>
      <c r="K57" s="43"/>
      <c r="L57" s="43"/>
      <c r="M57" s="43"/>
      <c r="N57" s="43"/>
      <c r="O57" s="43"/>
      <c r="P57" s="43"/>
      <c r="Q57" s="43"/>
      <c r="R57" s="43"/>
    </row>
    <row r="58" spans="2:18" x14ac:dyDescent="0.25">
      <c r="B58" s="43"/>
      <c r="C58" s="43"/>
      <c r="D58" s="43"/>
      <c r="E58" s="43"/>
      <c r="F58" s="43"/>
      <c r="G58" s="43"/>
      <c r="H58" s="43"/>
      <c r="I58" s="43"/>
      <c r="J58" s="43"/>
      <c r="K58" s="43"/>
      <c r="L58" s="43"/>
      <c r="M58" s="43"/>
      <c r="N58" s="43"/>
      <c r="O58" s="43"/>
      <c r="P58" s="43"/>
      <c r="Q58" s="43"/>
      <c r="R58" s="43"/>
    </row>
    <row r="59" spans="2:18" x14ac:dyDescent="0.25">
      <c r="B59" s="43"/>
      <c r="C59" s="43"/>
      <c r="D59" s="43"/>
      <c r="E59" s="43"/>
      <c r="F59" s="43"/>
      <c r="G59" s="43"/>
      <c r="H59" s="43"/>
      <c r="I59" s="43"/>
      <c r="J59" s="43"/>
      <c r="K59" s="43"/>
      <c r="L59" s="43"/>
      <c r="M59" s="43"/>
      <c r="N59" s="43"/>
      <c r="O59" s="43"/>
      <c r="P59" s="43"/>
      <c r="Q59" s="43"/>
      <c r="R59" s="43"/>
    </row>
    <row r="60" spans="2:18" x14ac:dyDescent="0.25">
      <c r="B60" s="43"/>
      <c r="C60" s="43"/>
      <c r="D60" s="43"/>
      <c r="E60" s="43"/>
      <c r="F60" s="43"/>
      <c r="G60" s="43"/>
      <c r="H60" s="43"/>
      <c r="I60" s="43"/>
      <c r="J60" s="43"/>
      <c r="K60" s="43"/>
      <c r="L60" s="43"/>
      <c r="M60" s="43"/>
      <c r="N60" s="43"/>
      <c r="O60" s="43"/>
      <c r="P60" s="43"/>
      <c r="Q60" s="43"/>
      <c r="R60" s="43"/>
    </row>
    <row r="61" spans="2:18" x14ac:dyDescent="0.25">
      <c r="B61" s="43"/>
      <c r="C61" s="43"/>
      <c r="D61" s="43"/>
      <c r="E61" s="43"/>
      <c r="F61" s="43"/>
      <c r="G61" s="43"/>
      <c r="H61" s="43"/>
      <c r="I61" s="43"/>
      <c r="J61" s="43"/>
      <c r="K61" s="43"/>
      <c r="L61" s="43"/>
      <c r="M61" s="43"/>
      <c r="N61" s="43"/>
      <c r="O61" s="43"/>
      <c r="P61" s="43"/>
      <c r="Q61" s="43"/>
      <c r="R61" s="43"/>
    </row>
    <row r="62" spans="2:18" x14ac:dyDescent="0.25">
      <c r="B62" s="43"/>
      <c r="C62" s="43"/>
      <c r="D62" s="43"/>
      <c r="E62" s="43"/>
      <c r="F62" s="43"/>
      <c r="G62" s="43"/>
      <c r="H62" s="43"/>
      <c r="I62" s="43"/>
      <c r="J62" s="43"/>
      <c r="K62" s="43"/>
      <c r="L62" s="43"/>
      <c r="M62" s="43"/>
      <c r="N62" s="43"/>
      <c r="O62" s="43"/>
      <c r="P62" s="43"/>
      <c r="Q62" s="43"/>
      <c r="R62" s="43"/>
    </row>
    <row r="63" spans="2:18" x14ac:dyDescent="0.25">
      <c r="B63" s="43"/>
      <c r="C63" s="43"/>
      <c r="D63" s="43"/>
      <c r="E63" s="43"/>
      <c r="F63" s="43"/>
      <c r="G63" s="43"/>
      <c r="H63" s="43"/>
      <c r="I63" s="43"/>
      <c r="J63" s="43"/>
      <c r="K63" s="43"/>
      <c r="L63" s="43"/>
      <c r="M63" s="43"/>
      <c r="N63" s="43"/>
      <c r="O63" s="43"/>
      <c r="P63" s="43"/>
      <c r="Q63" s="43"/>
      <c r="R63" s="43"/>
    </row>
    <row r="64" spans="2:18" x14ac:dyDescent="0.25">
      <c r="B64" s="43"/>
      <c r="C64" s="43"/>
      <c r="D64" s="43"/>
      <c r="E64" s="43"/>
      <c r="F64" s="43"/>
      <c r="G64" s="43"/>
      <c r="H64" s="43"/>
      <c r="I64" s="43"/>
      <c r="J64" s="43"/>
      <c r="K64" s="43"/>
      <c r="L64" s="43"/>
      <c r="M64" s="43"/>
      <c r="N64" s="43"/>
      <c r="O64" s="43"/>
      <c r="P64" s="43"/>
      <c r="Q64" s="43"/>
      <c r="R64" s="43"/>
    </row>
    <row r="65" spans="2:18" x14ac:dyDescent="0.25">
      <c r="B65" s="43"/>
      <c r="C65" s="43"/>
      <c r="D65" s="43"/>
      <c r="E65" s="43"/>
      <c r="F65" s="43"/>
      <c r="G65" s="43"/>
      <c r="H65" s="43"/>
      <c r="I65" s="43"/>
      <c r="J65" s="43"/>
      <c r="K65" s="43"/>
      <c r="L65" s="43"/>
      <c r="M65" s="43"/>
      <c r="N65" s="43"/>
      <c r="O65" s="43"/>
      <c r="P65" s="43"/>
      <c r="Q65" s="43"/>
      <c r="R65" s="43"/>
    </row>
    <row r="66" spans="2:18" x14ac:dyDescent="0.25">
      <c r="B66" s="43"/>
      <c r="C66" s="43"/>
      <c r="D66" s="43"/>
      <c r="E66" s="43"/>
      <c r="F66" s="43"/>
      <c r="G66" s="43"/>
      <c r="H66" s="43"/>
      <c r="I66" s="43"/>
      <c r="J66" s="43"/>
      <c r="K66" s="43"/>
      <c r="L66" s="43"/>
      <c r="M66" s="43"/>
      <c r="N66" s="43"/>
      <c r="O66" s="43"/>
      <c r="P66" s="43"/>
      <c r="Q66" s="43"/>
      <c r="R66" s="43"/>
    </row>
    <row r="67" spans="2:18" x14ac:dyDescent="0.25">
      <c r="B67" s="43"/>
      <c r="C67" s="43"/>
      <c r="D67" s="43"/>
      <c r="E67" s="43"/>
      <c r="F67" s="43"/>
      <c r="G67" s="43"/>
      <c r="H67" s="43"/>
      <c r="I67" s="43"/>
      <c r="J67" s="43"/>
      <c r="K67" s="43"/>
      <c r="L67" s="43"/>
      <c r="M67" s="43"/>
      <c r="N67" s="43"/>
      <c r="O67" s="43"/>
      <c r="P67" s="43"/>
      <c r="Q67" s="43"/>
      <c r="R67" s="43"/>
    </row>
    <row r="68" spans="2:18" x14ac:dyDescent="0.25">
      <c r="B68" s="43"/>
      <c r="C68" s="43"/>
      <c r="D68" s="43"/>
      <c r="E68" s="43"/>
      <c r="F68" s="43"/>
      <c r="G68" s="43"/>
      <c r="H68" s="43"/>
      <c r="I68" s="43"/>
      <c r="J68" s="43"/>
      <c r="K68" s="43"/>
      <c r="L68" s="43"/>
      <c r="M68" s="43"/>
      <c r="N68" s="43"/>
      <c r="O68" s="43"/>
      <c r="P68" s="43"/>
      <c r="Q68" s="43"/>
      <c r="R68" s="43"/>
    </row>
    <row r="69" spans="2:18" x14ac:dyDescent="0.25">
      <c r="B69" s="43"/>
      <c r="C69" s="43"/>
      <c r="D69" s="43"/>
      <c r="E69" s="43"/>
      <c r="F69" s="43"/>
      <c r="G69" s="43"/>
      <c r="H69" s="43"/>
      <c r="I69" s="43"/>
      <c r="J69" s="43"/>
      <c r="K69" s="43"/>
      <c r="L69" s="43"/>
      <c r="M69" s="43"/>
      <c r="N69" s="43"/>
      <c r="O69" s="43"/>
      <c r="P69" s="43"/>
      <c r="Q69" s="43"/>
      <c r="R69" s="43"/>
    </row>
    <row r="70" spans="2:18" x14ac:dyDescent="0.25">
      <c r="B70" s="43"/>
      <c r="C70" s="43"/>
      <c r="D70" s="43"/>
      <c r="E70" s="43"/>
      <c r="F70" s="43"/>
      <c r="G70" s="43"/>
      <c r="H70" s="43"/>
      <c r="I70" s="43"/>
      <c r="J70" s="43"/>
      <c r="K70" s="43"/>
      <c r="L70" s="43"/>
      <c r="M70" s="43"/>
      <c r="N70" s="43"/>
      <c r="O70" s="43"/>
      <c r="P70" s="43"/>
      <c r="Q70" s="43"/>
      <c r="R70" s="43"/>
    </row>
    <row r="71" spans="2:18" x14ac:dyDescent="0.25">
      <c r="B71" s="43"/>
      <c r="C71" s="43"/>
      <c r="D71" s="43"/>
      <c r="E71" s="43"/>
      <c r="F71" s="43"/>
      <c r="G71" s="43"/>
      <c r="H71" s="43"/>
      <c r="I71" s="43"/>
      <c r="J71" s="43"/>
      <c r="K71" s="43"/>
      <c r="L71" s="43"/>
      <c r="M71" s="43"/>
      <c r="N71" s="43"/>
      <c r="O71" s="43"/>
      <c r="P71" s="43"/>
      <c r="Q71" s="43"/>
      <c r="R71" s="43"/>
    </row>
    <row r="72" spans="2:18" x14ac:dyDescent="0.25">
      <c r="B72" s="43"/>
      <c r="C72" s="43"/>
      <c r="D72" s="43"/>
      <c r="E72" s="43"/>
      <c r="F72" s="43"/>
      <c r="G72" s="43"/>
      <c r="H72" s="43"/>
      <c r="I72" s="43"/>
      <c r="J72" s="43"/>
      <c r="K72" s="43"/>
      <c r="L72" s="43"/>
      <c r="M72" s="43"/>
      <c r="N72" s="43"/>
      <c r="O72" s="43"/>
      <c r="P72" s="43"/>
      <c r="Q72" s="43"/>
      <c r="R72" s="43"/>
    </row>
    <row r="73" spans="2:18" x14ac:dyDescent="0.25">
      <c r="B73" s="43"/>
      <c r="C73" s="43"/>
      <c r="D73" s="43"/>
      <c r="E73" s="43"/>
      <c r="F73" s="43"/>
      <c r="G73" s="43"/>
      <c r="H73" s="43"/>
      <c r="I73" s="43"/>
      <c r="J73" s="43"/>
      <c r="K73" s="43"/>
      <c r="L73" s="43"/>
      <c r="M73" s="43"/>
      <c r="N73" s="43"/>
      <c r="O73" s="43"/>
      <c r="P73" s="43"/>
      <c r="Q73" s="43"/>
      <c r="R73" s="43"/>
    </row>
    <row r="74" spans="2:18" x14ac:dyDescent="0.25">
      <c r="B74" s="43"/>
      <c r="C74" s="43"/>
      <c r="D74" s="43"/>
      <c r="E74" s="43"/>
      <c r="F74" s="43"/>
      <c r="G74" s="43"/>
      <c r="H74" s="43"/>
      <c r="I74" s="43"/>
      <c r="J74" s="43"/>
      <c r="K74" s="43"/>
      <c r="L74" s="43"/>
      <c r="M74" s="43"/>
      <c r="N74" s="43"/>
      <c r="O74" s="43"/>
      <c r="P74" s="43"/>
      <c r="Q74" s="43"/>
      <c r="R74" s="43"/>
    </row>
    <row r="75" spans="2:18" x14ac:dyDescent="0.25">
      <c r="B75" s="43"/>
      <c r="C75" s="43"/>
      <c r="D75" s="43"/>
      <c r="E75" s="43"/>
      <c r="F75" s="43"/>
      <c r="G75" s="43"/>
      <c r="H75" s="43"/>
      <c r="I75" s="43"/>
      <c r="J75" s="43"/>
      <c r="K75" s="43"/>
      <c r="L75" s="43"/>
      <c r="M75" s="43"/>
      <c r="N75" s="43"/>
      <c r="O75" s="43"/>
      <c r="P75" s="43"/>
      <c r="Q75" s="43"/>
      <c r="R75" s="43"/>
    </row>
  </sheetData>
  <autoFilter ref="B5:D49" xr:uid="{00000000-0009-0000-0000-000000000000}"/>
  <mergeCells count="42">
    <mergeCell ref="C34:C35"/>
    <mergeCell ref="C22:C23"/>
    <mergeCell ref="C26:C27"/>
    <mergeCell ref="C28:C29"/>
    <mergeCell ref="C30:C31"/>
    <mergeCell ref="C32:C33"/>
    <mergeCell ref="O3:Q3"/>
    <mergeCell ref="I3:K3"/>
    <mergeCell ref="B8:B9"/>
    <mergeCell ref="B10:B11"/>
    <mergeCell ref="B24:B25"/>
    <mergeCell ref="C6:C7"/>
    <mergeCell ref="C8:C9"/>
    <mergeCell ref="C10:C11"/>
    <mergeCell ref="C24:C25"/>
    <mergeCell ref="B6:B7"/>
    <mergeCell ref="B18:B19"/>
    <mergeCell ref="B20:B21"/>
    <mergeCell ref="C18:C19"/>
    <mergeCell ref="C20:C21"/>
    <mergeCell ref="B22:B23"/>
    <mergeCell ref="B42:B43"/>
    <mergeCell ref="B44:B45"/>
    <mergeCell ref="C42:C43"/>
    <mergeCell ref="C44:C45"/>
    <mergeCell ref="C38:C39"/>
    <mergeCell ref="C40:C41"/>
    <mergeCell ref="B38:B39"/>
    <mergeCell ref="B40:B41"/>
    <mergeCell ref="B36:B37"/>
    <mergeCell ref="B34:B35"/>
    <mergeCell ref="B26:B27"/>
    <mergeCell ref="B28:B29"/>
    <mergeCell ref="B30:B31"/>
    <mergeCell ref="B32:B33"/>
    <mergeCell ref="C36:C37"/>
    <mergeCell ref="B12:B13"/>
    <mergeCell ref="C12:C13"/>
    <mergeCell ref="B14:B15"/>
    <mergeCell ref="C14:C15"/>
    <mergeCell ref="B16:B17"/>
    <mergeCell ref="C16:C17"/>
  </mergeCells>
  <conditionalFormatting sqref="E7:Q7">
    <cfRule type="cellIs" dxfId="19" priority="45" operator="lessThan">
      <formula>E6</formula>
    </cfRule>
    <cfRule type="cellIs" dxfId="18" priority="46" operator="greaterThan">
      <formula>E6</formula>
    </cfRule>
  </conditionalFormatting>
  <conditionalFormatting sqref="E9:Q9">
    <cfRule type="cellIs" dxfId="17" priority="41" operator="lessThan">
      <formula>E$8</formula>
    </cfRule>
    <cfRule type="cellIs" dxfId="16" priority="42" operator="greaterThan">
      <formula>E$8</formula>
    </cfRule>
  </conditionalFormatting>
  <conditionalFormatting sqref="E11:Q11">
    <cfRule type="cellIs" dxfId="15" priority="39" operator="lessThan">
      <formula>E10</formula>
    </cfRule>
    <cfRule type="cellIs" dxfId="14" priority="40" operator="greaterThan">
      <formula>E10</formula>
    </cfRule>
  </conditionalFormatting>
  <conditionalFormatting sqref="E13:Q13 E15:Q15 E17:Q17 E19:Q19 E21:Q21 E23:Q23 E25:Q25 E27:Q27 E29:Q29 E31:Q31 E33:Q33 E35:Q35 E37:Q37 E39:Q39 E41:Q41 E43:Q43 E45:Q45">
    <cfRule type="cellIs" dxfId="13" priority="1" operator="lessThan">
      <formula>E12</formula>
    </cfRule>
    <cfRule type="cellIs" dxfId="12" priority="2" operator="greaterThan">
      <formula>E12</formula>
    </cfRule>
  </conditionalFormatting>
  <conditionalFormatting sqref="E49:Q49">
    <cfRule type="containsErrors" dxfId="11" priority="53">
      <formula>ISERROR(E49)</formula>
    </cfRule>
  </conditionalFormatting>
  <conditionalFormatting sqref="F47:Q47">
    <cfRule type="containsErrors" dxfId="10" priority="51">
      <formula>ISERROR(F47)</formula>
    </cfRule>
  </conditionalFormatting>
  <pageMargins left="0.7" right="0.7" top="0.75" bottom="0.75" header="0.3" footer="0.3"/>
  <pageSetup paperSize="9" orientation="portrait" horizontalDpi="4294967293" verticalDpi="0" r:id="rId1"/>
  <ignoredErrors>
    <ignoredError sqref="E48:Q48"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election activeCell="A31" sqref="A31"/>
    </sheetView>
  </sheetViews>
  <sheetFormatPr defaultRowHeight="14.4" x14ac:dyDescent="0.3"/>
  <sheetData/>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89FD7-B452-427E-9F00-8F7D23F02243}">
  <dimension ref="B1:BI75"/>
  <sheetViews>
    <sheetView showGridLines="0" zoomScale="90" zoomScaleNormal="90" workbookViewId="0">
      <pane xSplit="4" ySplit="5" topLeftCell="E6" activePane="bottomRight" state="frozen"/>
      <selection pane="topRight" activeCell="E1" sqref="E1"/>
      <selection pane="bottomLeft" activeCell="A6" sqref="A6"/>
      <selection pane="bottomRight"/>
    </sheetView>
  </sheetViews>
  <sheetFormatPr defaultColWidth="8.88671875" defaultRowHeight="13.8" x14ac:dyDescent="0.25"/>
  <cols>
    <col min="1" max="1" width="1.6640625" style="1" customWidth="1"/>
    <col min="2" max="2" width="4.88671875" style="1" customWidth="1"/>
    <col min="3" max="3" width="21.6640625" style="1" customWidth="1"/>
    <col min="4" max="4" width="12.44140625" style="1" customWidth="1"/>
    <col min="5" max="57" width="12.88671875" style="1" customWidth="1"/>
    <col min="58" max="58" width="14.44140625" style="1" bestFit="1" customWidth="1"/>
    <col min="59" max="59" width="14.21875" style="1" customWidth="1"/>
    <col min="60" max="60" width="2" style="1" customWidth="1"/>
    <col min="61" max="16384" width="8.88671875" style="1"/>
  </cols>
  <sheetData>
    <row r="1" spans="2:61" ht="9.6" customHeight="1" x14ac:dyDescent="0.25">
      <c r="B1" s="25"/>
      <c r="C1" s="25"/>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42"/>
    </row>
    <row r="2" spans="2:61" ht="25.2" customHeight="1" x14ac:dyDescent="0.25">
      <c r="B2" s="26"/>
      <c r="C2" s="26"/>
      <c r="D2" s="28"/>
      <c r="E2" s="28"/>
      <c r="F2" s="28"/>
      <c r="G2" s="28"/>
      <c r="H2" s="28"/>
      <c r="I2" s="68" t="s">
        <v>25</v>
      </c>
      <c r="J2" s="68"/>
      <c r="K2" s="6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42"/>
    </row>
    <row r="3" spans="2:61" ht="19.2" customHeight="1" x14ac:dyDescent="0.25">
      <c r="B3" s="25"/>
      <c r="C3" s="55" t="s">
        <v>8</v>
      </c>
      <c r="D3" s="59">
        <v>45107</v>
      </c>
      <c r="E3" s="27"/>
      <c r="F3" s="29"/>
      <c r="G3" s="27"/>
      <c r="H3" s="27"/>
      <c r="I3" s="79" t="s">
        <v>12</v>
      </c>
      <c r="J3" s="79"/>
      <c r="K3" s="79"/>
      <c r="L3" s="27"/>
      <c r="M3" s="27"/>
      <c r="N3" s="55" t="s">
        <v>19</v>
      </c>
      <c r="O3" s="60"/>
      <c r="P3" s="61"/>
      <c r="Q3" s="61"/>
      <c r="R3" s="62"/>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27"/>
      <c r="BH3" s="42"/>
      <c r="BI3" s="58" t="s">
        <v>23</v>
      </c>
    </row>
    <row r="4" spans="2:61" ht="9.6" customHeight="1" thickBot="1" x14ac:dyDescent="0.3">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row>
    <row r="5" spans="2:61" ht="19.95" customHeight="1" thickBot="1" x14ac:dyDescent="0.3">
      <c r="B5" s="21" t="s">
        <v>9</v>
      </c>
      <c r="C5" s="22" t="s">
        <v>7</v>
      </c>
      <c r="D5" s="22" t="s">
        <v>1</v>
      </c>
      <c r="E5" s="64">
        <f>D3</f>
        <v>45107</v>
      </c>
      <c r="F5" s="64">
        <f>E5+7</f>
        <v>45114</v>
      </c>
      <c r="G5" s="64">
        <f>F5+7</f>
        <v>45121</v>
      </c>
      <c r="H5" s="64">
        <f t="shared" ref="H5:BF5" si="0">G5+7</f>
        <v>45128</v>
      </c>
      <c r="I5" s="64">
        <f t="shared" si="0"/>
        <v>45135</v>
      </c>
      <c r="J5" s="64">
        <f t="shared" si="0"/>
        <v>45142</v>
      </c>
      <c r="K5" s="64">
        <f t="shared" si="0"/>
        <v>45149</v>
      </c>
      <c r="L5" s="64">
        <f t="shared" si="0"/>
        <v>45156</v>
      </c>
      <c r="M5" s="64">
        <f t="shared" si="0"/>
        <v>45163</v>
      </c>
      <c r="N5" s="64">
        <f t="shared" si="0"/>
        <v>45170</v>
      </c>
      <c r="O5" s="64">
        <f t="shared" si="0"/>
        <v>45177</v>
      </c>
      <c r="P5" s="64">
        <f t="shared" si="0"/>
        <v>45184</v>
      </c>
      <c r="Q5" s="64">
        <f t="shared" si="0"/>
        <v>45191</v>
      </c>
      <c r="R5" s="64">
        <f t="shared" si="0"/>
        <v>45198</v>
      </c>
      <c r="S5" s="64">
        <f t="shared" si="0"/>
        <v>45205</v>
      </c>
      <c r="T5" s="64">
        <f t="shared" si="0"/>
        <v>45212</v>
      </c>
      <c r="U5" s="64">
        <f t="shared" si="0"/>
        <v>45219</v>
      </c>
      <c r="V5" s="64">
        <f t="shared" si="0"/>
        <v>45226</v>
      </c>
      <c r="W5" s="64">
        <f t="shared" si="0"/>
        <v>45233</v>
      </c>
      <c r="X5" s="64">
        <f t="shared" si="0"/>
        <v>45240</v>
      </c>
      <c r="Y5" s="64">
        <f t="shared" si="0"/>
        <v>45247</v>
      </c>
      <c r="Z5" s="64">
        <f t="shared" si="0"/>
        <v>45254</v>
      </c>
      <c r="AA5" s="64">
        <f t="shared" si="0"/>
        <v>45261</v>
      </c>
      <c r="AB5" s="64">
        <f t="shared" si="0"/>
        <v>45268</v>
      </c>
      <c r="AC5" s="64">
        <f t="shared" si="0"/>
        <v>45275</v>
      </c>
      <c r="AD5" s="64">
        <f t="shared" si="0"/>
        <v>45282</v>
      </c>
      <c r="AE5" s="64">
        <f t="shared" si="0"/>
        <v>45289</v>
      </c>
      <c r="AF5" s="64">
        <f t="shared" si="0"/>
        <v>45296</v>
      </c>
      <c r="AG5" s="64">
        <f t="shared" si="0"/>
        <v>45303</v>
      </c>
      <c r="AH5" s="64">
        <f t="shared" si="0"/>
        <v>45310</v>
      </c>
      <c r="AI5" s="64">
        <f t="shared" si="0"/>
        <v>45317</v>
      </c>
      <c r="AJ5" s="64">
        <f t="shared" si="0"/>
        <v>45324</v>
      </c>
      <c r="AK5" s="64">
        <f t="shared" si="0"/>
        <v>45331</v>
      </c>
      <c r="AL5" s="64">
        <f t="shared" si="0"/>
        <v>45338</v>
      </c>
      <c r="AM5" s="64">
        <f t="shared" si="0"/>
        <v>45345</v>
      </c>
      <c r="AN5" s="64">
        <f t="shared" si="0"/>
        <v>45352</v>
      </c>
      <c r="AO5" s="64">
        <f t="shared" si="0"/>
        <v>45359</v>
      </c>
      <c r="AP5" s="64">
        <f t="shared" si="0"/>
        <v>45366</v>
      </c>
      <c r="AQ5" s="64">
        <f t="shared" si="0"/>
        <v>45373</v>
      </c>
      <c r="AR5" s="64">
        <f t="shared" si="0"/>
        <v>45380</v>
      </c>
      <c r="AS5" s="64">
        <f t="shared" si="0"/>
        <v>45387</v>
      </c>
      <c r="AT5" s="64">
        <f t="shared" si="0"/>
        <v>45394</v>
      </c>
      <c r="AU5" s="64">
        <f t="shared" si="0"/>
        <v>45401</v>
      </c>
      <c r="AV5" s="64">
        <f t="shared" si="0"/>
        <v>45408</v>
      </c>
      <c r="AW5" s="64">
        <f t="shared" si="0"/>
        <v>45415</v>
      </c>
      <c r="AX5" s="64">
        <f t="shared" si="0"/>
        <v>45422</v>
      </c>
      <c r="AY5" s="64">
        <f t="shared" si="0"/>
        <v>45429</v>
      </c>
      <c r="AZ5" s="64">
        <f t="shared" si="0"/>
        <v>45436</v>
      </c>
      <c r="BA5" s="64">
        <f t="shared" si="0"/>
        <v>45443</v>
      </c>
      <c r="BB5" s="64">
        <f t="shared" si="0"/>
        <v>45450</v>
      </c>
      <c r="BC5" s="64">
        <f t="shared" si="0"/>
        <v>45457</v>
      </c>
      <c r="BD5" s="64">
        <f t="shared" si="0"/>
        <v>45464</v>
      </c>
      <c r="BE5" s="64">
        <f t="shared" si="0"/>
        <v>45471</v>
      </c>
      <c r="BF5" s="64">
        <f t="shared" si="0"/>
        <v>45478</v>
      </c>
      <c r="BG5" s="24" t="s">
        <v>0</v>
      </c>
      <c r="BI5" s="58" t="s">
        <v>24</v>
      </c>
    </row>
    <row r="6" spans="2:61" ht="19.95" customHeight="1" x14ac:dyDescent="0.25">
      <c r="B6" s="81">
        <v>1</v>
      </c>
      <c r="C6" s="80" t="s">
        <v>4</v>
      </c>
      <c r="D6" s="36" t="s">
        <v>2</v>
      </c>
      <c r="E6" s="5">
        <v>5</v>
      </c>
      <c r="F6" s="6">
        <v>5</v>
      </c>
      <c r="G6" s="6">
        <v>14</v>
      </c>
      <c r="H6" s="6">
        <v>3</v>
      </c>
      <c r="I6" s="6"/>
      <c r="J6" s="6"/>
      <c r="K6" s="6"/>
      <c r="L6" s="6"/>
      <c r="M6" s="6"/>
      <c r="N6" s="6"/>
      <c r="O6" s="6"/>
      <c r="P6" s="6"/>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7"/>
      <c r="BG6" s="8">
        <f>SUM(E6:BF6)</f>
        <v>27</v>
      </c>
    </row>
    <row r="7" spans="2:61" ht="19.95" customHeight="1" x14ac:dyDescent="0.25">
      <c r="B7" s="69"/>
      <c r="C7" s="71"/>
      <c r="D7" s="37" t="s">
        <v>3</v>
      </c>
      <c r="E7" s="9">
        <v>5</v>
      </c>
      <c r="F7" s="10">
        <v>7</v>
      </c>
      <c r="G7" s="10">
        <v>16</v>
      </c>
      <c r="H7" s="10">
        <v>2</v>
      </c>
      <c r="I7" s="10"/>
      <c r="J7" s="10"/>
      <c r="K7" s="10"/>
      <c r="L7" s="10"/>
      <c r="M7" s="10"/>
      <c r="N7" s="10"/>
      <c r="O7" s="10"/>
      <c r="P7" s="10"/>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11"/>
      <c r="BG7" s="12">
        <f t="shared" ref="BG7:BG45" si="1">SUM(E7:BF7)</f>
        <v>30</v>
      </c>
    </row>
    <row r="8" spans="2:61" ht="19.95" customHeight="1" x14ac:dyDescent="0.25">
      <c r="B8" s="69">
        <v>2</v>
      </c>
      <c r="C8" s="70" t="s">
        <v>4</v>
      </c>
      <c r="D8" s="38" t="s">
        <v>2</v>
      </c>
      <c r="E8" s="13">
        <v>3</v>
      </c>
      <c r="F8" s="14">
        <v>1</v>
      </c>
      <c r="G8" s="14">
        <v>4</v>
      </c>
      <c r="H8" s="14"/>
      <c r="I8" s="14"/>
      <c r="J8" s="14"/>
      <c r="K8" s="14"/>
      <c r="L8" s="14"/>
      <c r="M8" s="14"/>
      <c r="N8" s="14"/>
      <c r="O8" s="14"/>
      <c r="P8" s="14"/>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15"/>
      <c r="BG8" s="16">
        <f t="shared" si="1"/>
        <v>8</v>
      </c>
    </row>
    <row r="9" spans="2:61" ht="19.95" customHeight="1" x14ac:dyDescent="0.25">
      <c r="B9" s="69"/>
      <c r="C9" s="71"/>
      <c r="D9" s="37" t="s">
        <v>3</v>
      </c>
      <c r="E9" s="9">
        <v>3</v>
      </c>
      <c r="F9" s="10">
        <v>4</v>
      </c>
      <c r="G9" s="10">
        <v>4</v>
      </c>
      <c r="H9" s="10"/>
      <c r="I9" s="10"/>
      <c r="J9" s="10"/>
      <c r="K9" s="10"/>
      <c r="L9" s="10"/>
      <c r="M9" s="10"/>
      <c r="N9" s="10"/>
      <c r="O9" s="10"/>
      <c r="P9" s="10"/>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11"/>
      <c r="BG9" s="12">
        <f t="shared" si="1"/>
        <v>11</v>
      </c>
    </row>
    <row r="10" spans="2:61" ht="19.95" customHeight="1" x14ac:dyDescent="0.25">
      <c r="B10" s="69">
        <v>3</v>
      </c>
      <c r="C10" s="70" t="s">
        <v>4</v>
      </c>
      <c r="D10" s="38" t="s">
        <v>2</v>
      </c>
      <c r="E10" s="13">
        <v>3</v>
      </c>
      <c r="F10" s="14">
        <v>2</v>
      </c>
      <c r="G10" s="14">
        <v>2</v>
      </c>
      <c r="H10" s="14">
        <v>1</v>
      </c>
      <c r="I10" s="14">
        <v>10</v>
      </c>
      <c r="J10" s="14"/>
      <c r="K10" s="14"/>
      <c r="L10" s="14"/>
      <c r="M10" s="14"/>
      <c r="N10" s="14"/>
      <c r="O10" s="14"/>
      <c r="P10" s="14"/>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15"/>
      <c r="BG10" s="16">
        <f t="shared" si="1"/>
        <v>18</v>
      </c>
    </row>
    <row r="11" spans="2:61" ht="19.95" customHeight="1" x14ac:dyDescent="0.25">
      <c r="B11" s="69"/>
      <c r="C11" s="71"/>
      <c r="D11" s="37" t="s">
        <v>3</v>
      </c>
      <c r="E11" s="9">
        <v>3</v>
      </c>
      <c r="F11" s="10">
        <v>4</v>
      </c>
      <c r="G11" s="10">
        <v>4</v>
      </c>
      <c r="H11" s="10">
        <v>4</v>
      </c>
      <c r="I11" s="10">
        <v>9</v>
      </c>
      <c r="J11" s="10"/>
      <c r="K11" s="10"/>
      <c r="L11" s="10"/>
      <c r="M11" s="10"/>
      <c r="N11" s="10"/>
      <c r="O11" s="10"/>
      <c r="P11" s="10"/>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11"/>
      <c r="BG11" s="12">
        <f t="shared" si="1"/>
        <v>24</v>
      </c>
      <c r="BI11" s="57"/>
    </row>
    <row r="12" spans="2:61" ht="19.95" customHeight="1" x14ac:dyDescent="0.25">
      <c r="B12" s="69">
        <v>4</v>
      </c>
      <c r="C12" s="70" t="s">
        <v>4</v>
      </c>
      <c r="D12" s="38" t="s">
        <v>2</v>
      </c>
      <c r="E12" s="13"/>
      <c r="F12" s="14"/>
      <c r="G12" s="14"/>
      <c r="H12" s="14"/>
      <c r="I12" s="14"/>
      <c r="J12" s="14"/>
      <c r="K12" s="14"/>
      <c r="L12" s="14"/>
      <c r="M12" s="14"/>
      <c r="N12" s="14"/>
      <c r="O12" s="14"/>
      <c r="P12" s="14"/>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15"/>
      <c r="BG12" s="16">
        <f t="shared" si="1"/>
        <v>0</v>
      </c>
    </row>
    <row r="13" spans="2:61" ht="19.95" customHeight="1" x14ac:dyDescent="0.25">
      <c r="B13" s="69"/>
      <c r="C13" s="71"/>
      <c r="D13" s="37" t="s">
        <v>3</v>
      </c>
      <c r="E13" s="9"/>
      <c r="F13" s="10"/>
      <c r="G13" s="10"/>
      <c r="H13" s="10"/>
      <c r="I13" s="10"/>
      <c r="J13" s="10"/>
      <c r="K13" s="10"/>
      <c r="L13" s="10"/>
      <c r="M13" s="10"/>
      <c r="N13" s="10"/>
      <c r="O13" s="10"/>
      <c r="P13" s="10"/>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11"/>
      <c r="BG13" s="12">
        <f t="shared" si="1"/>
        <v>0</v>
      </c>
    </row>
    <row r="14" spans="2:61" ht="19.95" customHeight="1" x14ac:dyDescent="0.25">
      <c r="B14" s="69">
        <v>5</v>
      </c>
      <c r="C14" s="70" t="s">
        <v>4</v>
      </c>
      <c r="D14" s="39" t="s">
        <v>2</v>
      </c>
      <c r="E14" s="13"/>
      <c r="F14" s="14"/>
      <c r="G14" s="14"/>
      <c r="H14" s="14"/>
      <c r="I14" s="14"/>
      <c r="J14" s="14"/>
      <c r="K14" s="14"/>
      <c r="L14" s="14"/>
      <c r="M14" s="14"/>
      <c r="N14" s="14"/>
      <c r="O14" s="14"/>
      <c r="P14" s="14"/>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15"/>
      <c r="BG14" s="16">
        <f t="shared" si="1"/>
        <v>0</v>
      </c>
    </row>
    <row r="15" spans="2:61" ht="19.95" customHeight="1" x14ac:dyDescent="0.25">
      <c r="B15" s="69"/>
      <c r="C15" s="71"/>
      <c r="D15" s="37" t="s">
        <v>3</v>
      </c>
      <c r="E15" s="9"/>
      <c r="F15" s="10"/>
      <c r="G15" s="10"/>
      <c r="H15" s="10"/>
      <c r="I15" s="10"/>
      <c r="J15" s="10"/>
      <c r="K15" s="10"/>
      <c r="L15" s="10"/>
      <c r="M15" s="10"/>
      <c r="N15" s="10"/>
      <c r="O15" s="10"/>
      <c r="P15" s="10"/>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11"/>
      <c r="BG15" s="12">
        <f t="shared" si="1"/>
        <v>0</v>
      </c>
    </row>
    <row r="16" spans="2:61" ht="19.95" customHeight="1" x14ac:dyDescent="0.25">
      <c r="B16" s="69">
        <v>6</v>
      </c>
      <c r="C16" s="70" t="s">
        <v>4</v>
      </c>
      <c r="D16" s="39" t="s">
        <v>2</v>
      </c>
      <c r="E16" s="13"/>
      <c r="F16" s="14"/>
      <c r="G16" s="14"/>
      <c r="H16" s="14"/>
      <c r="I16" s="14"/>
      <c r="J16" s="14"/>
      <c r="K16" s="14"/>
      <c r="L16" s="14"/>
      <c r="M16" s="14"/>
      <c r="N16" s="14"/>
      <c r="O16" s="14"/>
      <c r="P16" s="14"/>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15"/>
      <c r="BG16" s="16">
        <f t="shared" si="1"/>
        <v>0</v>
      </c>
    </row>
    <row r="17" spans="2:61" ht="19.95" customHeight="1" x14ac:dyDescent="0.25">
      <c r="B17" s="69"/>
      <c r="C17" s="71"/>
      <c r="D17" s="37" t="s">
        <v>3</v>
      </c>
      <c r="E17" s="9"/>
      <c r="F17" s="10"/>
      <c r="G17" s="10"/>
      <c r="H17" s="10"/>
      <c r="I17" s="10"/>
      <c r="J17" s="10"/>
      <c r="K17" s="10"/>
      <c r="L17" s="10"/>
      <c r="M17" s="10"/>
      <c r="N17" s="10"/>
      <c r="O17" s="10"/>
      <c r="P17" s="10"/>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11"/>
      <c r="BG17" s="12">
        <f t="shared" si="1"/>
        <v>0</v>
      </c>
      <c r="BI17" s="58"/>
    </row>
    <row r="18" spans="2:61" ht="19.95" customHeight="1" x14ac:dyDescent="0.25">
      <c r="B18" s="69">
        <v>7</v>
      </c>
      <c r="C18" s="70" t="s">
        <v>4</v>
      </c>
      <c r="D18" s="39" t="s">
        <v>2</v>
      </c>
      <c r="E18" s="13"/>
      <c r="F18" s="14"/>
      <c r="G18" s="14"/>
      <c r="H18" s="14"/>
      <c r="I18" s="14"/>
      <c r="J18" s="14"/>
      <c r="K18" s="14"/>
      <c r="L18" s="14"/>
      <c r="M18" s="14"/>
      <c r="N18" s="14"/>
      <c r="O18" s="14"/>
      <c r="P18" s="14"/>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15"/>
      <c r="BG18" s="16">
        <f t="shared" si="1"/>
        <v>0</v>
      </c>
    </row>
    <row r="19" spans="2:61" ht="19.95" customHeight="1" x14ac:dyDescent="0.25">
      <c r="B19" s="69"/>
      <c r="C19" s="71"/>
      <c r="D19" s="37" t="s">
        <v>3</v>
      </c>
      <c r="E19" s="9"/>
      <c r="F19" s="10"/>
      <c r="G19" s="10"/>
      <c r="H19" s="10"/>
      <c r="I19" s="10"/>
      <c r="J19" s="10"/>
      <c r="K19" s="10"/>
      <c r="L19" s="10"/>
      <c r="M19" s="10"/>
      <c r="N19" s="10"/>
      <c r="O19" s="10"/>
      <c r="P19" s="10"/>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11"/>
      <c r="BG19" s="12">
        <f t="shared" si="1"/>
        <v>0</v>
      </c>
    </row>
    <row r="20" spans="2:61" ht="19.95" customHeight="1" x14ac:dyDescent="0.25">
      <c r="B20" s="69">
        <v>8</v>
      </c>
      <c r="C20" s="70" t="s">
        <v>4</v>
      </c>
      <c r="D20" s="39" t="s">
        <v>2</v>
      </c>
      <c r="E20" s="13"/>
      <c r="F20" s="14"/>
      <c r="G20" s="14"/>
      <c r="H20" s="14"/>
      <c r="I20" s="14"/>
      <c r="J20" s="14"/>
      <c r="K20" s="14"/>
      <c r="L20" s="14"/>
      <c r="M20" s="14"/>
      <c r="N20" s="14"/>
      <c r="O20" s="14"/>
      <c r="P20" s="14"/>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15"/>
      <c r="BG20" s="16">
        <f t="shared" si="1"/>
        <v>0</v>
      </c>
      <c r="BI20" s="58"/>
    </row>
    <row r="21" spans="2:61" ht="19.95" customHeight="1" x14ac:dyDescent="0.25">
      <c r="B21" s="69"/>
      <c r="C21" s="71"/>
      <c r="D21" s="37" t="s">
        <v>3</v>
      </c>
      <c r="E21" s="9"/>
      <c r="F21" s="10"/>
      <c r="G21" s="10"/>
      <c r="H21" s="10"/>
      <c r="I21" s="10"/>
      <c r="J21" s="10"/>
      <c r="K21" s="10"/>
      <c r="L21" s="10"/>
      <c r="M21" s="10"/>
      <c r="N21" s="10"/>
      <c r="O21" s="10"/>
      <c r="P21" s="10"/>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11"/>
      <c r="BG21" s="12">
        <f t="shared" si="1"/>
        <v>0</v>
      </c>
      <c r="BI21" s="58"/>
    </row>
    <row r="22" spans="2:61" ht="19.95" customHeight="1" x14ac:dyDescent="0.25">
      <c r="B22" s="69">
        <v>9</v>
      </c>
      <c r="C22" s="70" t="s">
        <v>4</v>
      </c>
      <c r="D22" s="39" t="s">
        <v>2</v>
      </c>
      <c r="E22" s="13"/>
      <c r="F22" s="14"/>
      <c r="G22" s="14"/>
      <c r="H22" s="14"/>
      <c r="I22" s="14"/>
      <c r="J22" s="14"/>
      <c r="K22" s="14"/>
      <c r="L22" s="14"/>
      <c r="M22" s="14"/>
      <c r="N22" s="14"/>
      <c r="O22" s="14"/>
      <c r="P22" s="14"/>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15"/>
      <c r="BG22" s="16">
        <f t="shared" si="1"/>
        <v>0</v>
      </c>
    </row>
    <row r="23" spans="2:61" ht="19.95" customHeight="1" x14ac:dyDescent="0.25">
      <c r="B23" s="69"/>
      <c r="C23" s="71"/>
      <c r="D23" s="37" t="s">
        <v>3</v>
      </c>
      <c r="E23" s="9"/>
      <c r="F23" s="10"/>
      <c r="G23" s="10"/>
      <c r="H23" s="10"/>
      <c r="I23" s="10"/>
      <c r="J23" s="10"/>
      <c r="K23" s="10"/>
      <c r="L23" s="10"/>
      <c r="M23" s="10"/>
      <c r="N23" s="10"/>
      <c r="O23" s="10"/>
      <c r="P23" s="10"/>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11"/>
      <c r="BG23" s="12">
        <f t="shared" si="1"/>
        <v>0</v>
      </c>
    </row>
    <row r="24" spans="2:61" ht="19.95" customHeight="1" x14ac:dyDescent="0.25">
      <c r="B24" s="69">
        <v>10</v>
      </c>
      <c r="C24" s="70" t="s">
        <v>4</v>
      </c>
      <c r="D24" s="39" t="s">
        <v>2</v>
      </c>
      <c r="E24" s="13"/>
      <c r="F24" s="14"/>
      <c r="G24" s="14"/>
      <c r="H24" s="14"/>
      <c r="I24" s="14"/>
      <c r="J24" s="14"/>
      <c r="K24" s="14"/>
      <c r="L24" s="14"/>
      <c r="M24" s="14"/>
      <c r="N24" s="14"/>
      <c r="O24" s="14"/>
      <c r="P24" s="14"/>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15"/>
      <c r="BG24" s="16">
        <f t="shared" si="1"/>
        <v>0</v>
      </c>
    </row>
    <row r="25" spans="2:61" ht="19.95" customHeight="1" x14ac:dyDescent="0.25">
      <c r="B25" s="69"/>
      <c r="C25" s="71"/>
      <c r="D25" s="37" t="s">
        <v>3</v>
      </c>
      <c r="E25" s="9"/>
      <c r="F25" s="10"/>
      <c r="G25" s="10"/>
      <c r="H25" s="10"/>
      <c r="I25" s="10"/>
      <c r="J25" s="10"/>
      <c r="K25" s="10"/>
      <c r="L25" s="10"/>
      <c r="M25" s="10"/>
      <c r="N25" s="10"/>
      <c r="O25" s="10"/>
      <c r="P25" s="10"/>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11"/>
      <c r="BG25" s="12">
        <f t="shared" si="1"/>
        <v>0</v>
      </c>
    </row>
    <row r="26" spans="2:61" ht="19.95" customHeight="1" x14ac:dyDescent="0.25">
      <c r="B26" s="69">
        <v>11</v>
      </c>
      <c r="C26" s="70" t="s">
        <v>4</v>
      </c>
      <c r="D26" s="39" t="s">
        <v>2</v>
      </c>
      <c r="E26" s="13"/>
      <c r="F26" s="14"/>
      <c r="G26" s="14"/>
      <c r="H26" s="14"/>
      <c r="I26" s="14"/>
      <c r="J26" s="14"/>
      <c r="K26" s="14"/>
      <c r="L26" s="14"/>
      <c r="M26" s="14"/>
      <c r="N26" s="14"/>
      <c r="O26" s="14"/>
      <c r="P26" s="14"/>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15"/>
      <c r="BG26" s="16">
        <f t="shared" si="1"/>
        <v>0</v>
      </c>
    </row>
    <row r="27" spans="2:61" ht="19.95" customHeight="1" x14ac:dyDescent="0.25">
      <c r="B27" s="69"/>
      <c r="C27" s="71"/>
      <c r="D27" s="37" t="s">
        <v>3</v>
      </c>
      <c r="E27" s="9"/>
      <c r="F27" s="10"/>
      <c r="G27" s="10"/>
      <c r="H27" s="10"/>
      <c r="I27" s="10"/>
      <c r="J27" s="10"/>
      <c r="K27" s="10"/>
      <c r="L27" s="10"/>
      <c r="M27" s="10"/>
      <c r="N27" s="10"/>
      <c r="O27" s="10"/>
      <c r="P27" s="10"/>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11"/>
      <c r="BG27" s="12">
        <f t="shared" si="1"/>
        <v>0</v>
      </c>
    </row>
    <row r="28" spans="2:61" ht="19.95" customHeight="1" x14ac:dyDescent="0.25">
      <c r="B28" s="69">
        <v>12</v>
      </c>
      <c r="C28" s="70" t="s">
        <v>4</v>
      </c>
      <c r="D28" s="39" t="s">
        <v>2</v>
      </c>
      <c r="E28" s="13"/>
      <c r="F28" s="14"/>
      <c r="G28" s="14"/>
      <c r="H28" s="14"/>
      <c r="I28" s="14"/>
      <c r="J28" s="14"/>
      <c r="K28" s="14"/>
      <c r="L28" s="14"/>
      <c r="M28" s="14"/>
      <c r="N28" s="14"/>
      <c r="O28" s="14"/>
      <c r="P28" s="14"/>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15"/>
      <c r="BG28" s="16">
        <f t="shared" si="1"/>
        <v>0</v>
      </c>
    </row>
    <row r="29" spans="2:61" ht="19.95" customHeight="1" x14ac:dyDescent="0.25">
      <c r="B29" s="69"/>
      <c r="C29" s="71"/>
      <c r="D29" s="37" t="s">
        <v>3</v>
      </c>
      <c r="E29" s="9"/>
      <c r="F29" s="10"/>
      <c r="G29" s="10"/>
      <c r="H29" s="10"/>
      <c r="I29" s="10"/>
      <c r="J29" s="10"/>
      <c r="K29" s="10"/>
      <c r="L29" s="10"/>
      <c r="M29" s="10"/>
      <c r="N29" s="10"/>
      <c r="O29" s="10"/>
      <c r="P29" s="10"/>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11"/>
      <c r="BG29" s="12">
        <f t="shared" si="1"/>
        <v>0</v>
      </c>
    </row>
    <row r="30" spans="2:61" ht="19.95" customHeight="1" x14ac:dyDescent="0.25">
      <c r="B30" s="69">
        <v>13</v>
      </c>
      <c r="C30" s="70" t="s">
        <v>4</v>
      </c>
      <c r="D30" s="39" t="s">
        <v>2</v>
      </c>
      <c r="E30" s="13"/>
      <c r="F30" s="14"/>
      <c r="G30" s="14"/>
      <c r="H30" s="14"/>
      <c r="I30" s="14"/>
      <c r="J30" s="14"/>
      <c r="K30" s="14"/>
      <c r="L30" s="14"/>
      <c r="M30" s="14"/>
      <c r="N30" s="14"/>
      <c r="O30" s="14"/>
      <c r="P30" s="14"/>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15"/>
      <c r="BG30" s="16">
        <f t="shared" si="1"/>
        <v>0</v>
      </c>
    </row>
    <row r="31" spans="2:61" ht="19.95" customHeight="1" x14ac:dyDescent="0.25">
      <c r="B31" s="69"/>
      <c r="C31" s="71"/>
      <c r="D31" s="37" t="s">
        <v>3</v>
      </c>
      <c r="E31" s="9"/>
      <c r="F31" s="10"/>
      <c r="G31" s="10"/>
      <c r="H31" s="10"/>
      <c r="I31" s="10"/>
      <c r="J31" s="10"/>
      <c r="K31" s="10"/>
      <c r="L31" s="10"/>
      <c r="M31" s="10"/>
      <c r="N31" s="10"/>
      <c r="O31" s="10"/>
      <c r="P31" s="10"/>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11"/>
      <c r="BG31" s="12">
        <f t="shared" si="1"/>
        <v>0</v>
      </c>
    </row>
    <row r="32" spans="2:61" ht="19.95" customHeight="1" x14ac:dyDescent="0.25">
      <c r="B32" s="69">
        <v>14</v>
      </c>
      <c r="C32" s="70" t="s">
        <v>4</v>
      </c>
      <c r="D32" s="39" t="s">
        <v>2</v>
      </c>
      <c r="E32" s="13"/>
      <c r="F32" s="14"/>
      <c r="G32" s="14"/>
      <c r="H32" s="14"/>
      <c r="I32" s="14"/>
      <c r="J32" s="14"/>
      <c r="K32" s="14"/>
      <c r="L32" s="14"/>
      <c r="M32" s="14"/>
      <c r="N32" s="14"/>
      <c r="O32" s="14"/>
      <c r="P32" s="14"/>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15"/>
      <c r="BG32" s="16">
        <f t="shared" si="1"/>
        <v>0</v>
      </c>
    </row>
    <row r="33" spans="2:61" ht="19.95" customHeight="1" x14ac:dyDescent="0.25">
      <c r="B33" s="69"/>
      <c r="C33" s="71"/>
      <c r="D33" s="40" t="s">
        <v>3</v>
      </c>
      <c r="E33" s="9"/>
      <c r="F33" s="10"/>
      <c r="G33" s="10"/>
      <c r="H33" s="10"/>
      <c r="I33" s="10"/>
      <c r="J33" s="10"/>
      <c r="K33" s="10"/>
      <c r="L33" s="10"/>
      <c r="M33" s="10"/>
      <c r="N33" s="10"/>
      <c r="O33" s="10"/>
      <c r="P33" s="10"/>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11"/>
      <c r="BG33" s="12">
        <f t="shared" si="1"/>
        <v>0</v>
      </c>
    </row>
    <row r="34" spans="2:61" ht="19.95" customHeight="1" x14ac:dyDescent="0.25">
      <c r="B34" s="69">
        <v>15</v>
      </c>
      <c r="C34" s="70" t="s">
        <v>4</v>
      </c>
      <c r="D34" s="39" t="s">
        <v>2</v>
      </c>
      <c r="E34" s="13"/>
      <c r="F34" s="14"/>
      <c r="G34" s="14"/>
      <c r="H34" s="14"/>
      <c r="I34" s="14"/>
      <c r="J34" s="14"/>
      <c r="K34" s="14"/>
      <c r="L34" s="14"/>
      <c r="M34" s="14"/>
      <c r="N34" s="14"/>
      <c r="O34" s="14"/>
      <c r="P34" s="14"/>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15"/>
      <c r="BG34" s="16">
        <f t="shared" si="1"/>
        <v>0</v>
      </c>
    </row>
    <row r="35" spans="2:61" ht="19.95" customHeight="1" x14ac:dyDescent="0.25">
      <c r="B35" s="69"/>
      <c r="C35" s="71"/>
      <c r="D35" s="40" t="s">
        <v>3</v>
      </c>
      <c r="E35" s="9"/>
      <c r="F35" s="10"/>
      <c r="G35" s="10"/>
      <c r="H35" s="10"/>
      <c r="I35" s="10"/>
      <c r="J35" s="10"/>
      <c r="K35" s="10"/>
      <c r="L35" s="10"/>
      <c r="M35" s="10"/>
      <c r="N35" s="10"/>
      <c r="O35" s="10"/>
      <c r="P35" s="10"/>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11"/>
      <c r="BG35" s="12">
        <f t="shared" si="1"/>
        <v>0</v>
      </c>
    </row>
    <row r="36" spans="2:61" ht="19.95" customHeight="1" x14ac:dyDescent="0.25">
      <c r="B36" s="69">
        <v>16</v>
      </c>
      <c r="C36" s="70" t="s">
        <v>4</v>
      </c>
      <c r="D36" s="39" t="s">
        <v>2</v>
      </c>
      <c r="E36" s="13"/>
      <c r="F36" s="14"/>
      <c r="G36" s="14"/>
      <c r="H36" s="14"/>
      <c r="I36" s="14"/>
      <c r="J36" s="14"/>
      <c r="K36" s="14"/>
      <c r="L36" s="14"/>
      <c r="M36" s="14"/>
      <c r="N36" s="14"/>
      <c r="O36" s="14"/>
      <c r="P36" s="14"/>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c r="BA36" s="67"/>
      <c r="BB36" s="67"/>
      <c r="BC36" s="67"/>
      <c r="BD36" s="67"/>
      <c r="BE36" s="67"/>
      <c r="BF36" s="15"/>
      <c r="BG36" s="16">
        <f t="shared" si="1"/>
        <v>0</v>
      </c>
    </row>
    <row r="37" spans="2:61" ht="19.95" customHeight="1" x14ac:dyDescent="0.25">
      <c r="B37" s="69"/>
      <c r="C37" s="71"/>
      <c r="D37" s="40" t="s">
        <v>3</v>
      </c>
      <c r="E37" s="9"/>
      <c r="F37" s="10"/>
      <c r="G37" s="10"/>
      <c r="H37" s="10"/>
      <c r="I37" s="10"/>
      <c r="J37" s="10"/>
      <c r="K37" s="10"/>
      <c r="L37" s="10"/>
      <c r="M37" s="10"/>
      <c r="N37" s="10"/>
      <c r="O37" s="10"/>
      <c r="P37" s="10"/>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11"/>
      <c r="BG37" s="12">
        <f t="shared" si="1"/>
        <v>0</v>
      </c>
    </row>
    <row r="38" spans="2:61" ht="19.95" customHeight="1" x14ac:dyDescent="0.25">
      <c r="B38" s="69">
        <v>17</v>
      </c>
      <c r="C38" s="70" t="s">
        <v>4</v>
      </c>
      <c r="D38" s="39" t="s">
        <v>2</v>
      </c>
      <c r="E38" s="13"/>
      <c r="F38" s="14"/>
      <c r="G38" s="14"/>
      <c r="H38" s="14"/>
      <c r="I38" s="14"/>
      <c r="J38" s="14"/>
      <c r="K38" s="14"/>
      <c r="L38" s="14"/>
      <c r="M38" s="14"/>
      <c r="N38" s="14"/>
      <c r="O38" s="14"/>
      <c r="P38" s="14"/>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15"/>
      <c r="BG38" s="16">
        <f t="shared" si="1"/>
        <v>0</v>
      </c>
    </row>
    <row r="39" spans="2:61" ht="19.95" customHeight="1" x14ac:dyDescent="0.25">
      <c r="B39" s="69"/>
      <c r="C39" s="71"/>
      <c r="D39" s="40" t="s">
        <v>3</v>
      </c>
      <c r="E39" s="9"/>
      <c r="F39" s="10"/>
      <c r="G39" s="10"/>
      <c r="H39" s="10"/>
      <c r="I39" s="10"/>
      <c r="J39" s="10"/>
      <c r="K39" s="10"/>
      <c r="L39" s="10"/>
      <c r="M39" s="10"/>
      <c r="N39" s="10"/>
      <c r="O39" s="10"/>
      <c r="P39" s="10"/>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11"/>
      <c r="BG39" s="12">
        <f t="shared" si="1"/>
        <v>0</v>
      </c>
    </row>
    <row r="40" spans="2:61" ht="19.95" customHeight="1" x14ac:dyDescent="0.25">
      <c r="B40" s="69">
        <v>18</v>
      </c>
      <c r="C40" s="70" t="s">
        <v>4</v>
      </c>
      <c r="D40" s="39" t="s">
        <v>2</v>
      </c>
      <c r="E40" s="13"/>
      <c r="F40" s="14"/>
      <c r="G40" s="14"/>
      <c r="H40" s="14"/>
      <c r="I40" s="14"/>
      <c r="J40" s="14"/>
      <c r="K40" s="14"/>
      <c r="L40" s="14"/>
      <c r="M40" s="14"/>
      <c r="N40" s="14"/>
      <c r="O40" s="14"/>
      <c r="P40" s="14"/>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c r="BA40" s="67"/>
      <c r="BB40" s="67"/>
      <c r="BC40" s="67"/>
      <c r="BD40" s="67"/>
      <c r="BE40" s="67"/>
      <c r="BF40" s="15"/>
      <c r="BG40" s="16">
        <f t="shared" si="1"/>
        <v>0</v>
      </c>
    </row>
    <row r="41" spans="2:61" ht="19.95" customHeight="1" x14ac:dyDescent="0.25">
      <c r="B41" s="69"/>
      <c r="C41" s="71"/>
      <c r="D41" s="40" t="s">
        <v>3</v>
      </c>
      <c r="E41" s="9"/>
      <c r="F41" s="10"/>
      <c r="G41" s="10"/>
      <c r="H41" s="10"/>
      <c r="I41" s="10"/>
      <c r="J41" s="10"/>
      <c r="K41" s="10"/>
      <c r="L41" s="10"/>
      <c r="M41" s="10"/>
      <c r="N41" s="10"/>
      <c r="O41" s="10"/>
      <c r="P41" s="10"/>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11"/>
      <c r="BG41" s="12">
        <f t="shared" si="1"/>
        <v>0</v>
      </c>
    </row>
    <row r="42" spans="2:61" ht="19.95" customHeight="1" x14ac:dyDescent="0.25">
      <c r="B42" s="69">
        <v>19</v>
      </c>
      <c r="C42" s="70" t="s">
        <v>4</v>
      </c>
      <c r="D42" s="39" t="s">
        <v>2</v>
      </c>
      <c r="E42" s="13"/>
      <c r="F42" s="14"/>
      <c r="G42" s="14"/>
      <c r="H42" s="14"/>
      <c r="I42" s="14"/>
      <c r="J42" s="14"/>
      <c r="K42" s="14"/>
      <c r="L42" s="14"/>
      <c r="M42" s="14"/>
      <c r="N42" s="14"/>
      <c r="O42" s="14"/>
      <c r="P42" s="14"/>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c r="BA42" s="67"/>
      <c r="BB42" s="67"/>
      <c r="BC42" s="67"/>
      <c r="BD42" s="67"/>
      <c r="BE42" s="67"/>
      <c r="BF42" s="15"/>
      <c r="BG42" s="16">
        <f t="shared" si="1"/>
        <v>0</v>
      </c>
      <c r="BI42" s="58" t="s">
        <v>21</v>
      </c>
    </row>
    <row r="43" spans="2:61" ht="19.95" customHeight="1" x14ac:dyDescent="0.25">
      <c r="B43" s="69"/>
      <c r="C43" s="73"/>
      <c r="D43" s="40" t="s">
        <v>3</v>
      </c>
      <c r="E43" s="9"/>
      <c r="F43" s="10"/>
      <c r="G43" s="10"/>
      <c r="H43" s="10"/>
      <c r="I43" s="10"/>
      <c r="J43" s="10"/>
      <c r="K43" s="10"/>
      <c r="L43" s="10"/>
      <c r="M43" s="10"/>
      <c r="N43" s="10"/>
      <c r="O43" s="10"/>
      <c r="P43" s="10"/>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11"/>
      <c r="BG43" s="12">
        <f t="shared" si="1"/>
        <v>0</v>
      </c>
      <c r="BI43" s="58" t="s">
        <v>22</v>
      </c>
    </row>
    <row r="44" spans="2:61" ht="19.95" customHeight="1" x14ac:dyDescent="0.25">
      <c r="B44" s="69">
        <v>20</v>
      </c>
      <c r="C44" s="74" t="s">
        <v>4</v>
      </c>
      <c r="D44" s="39" t="s">
        <v>2</v>
      </c>
      <c r="E44" s="13"/>
      <c r="F44" s="14"/>
      <c r="G44" s="14"/>
      <c r="H44" s="14"/>
      <c r="I44" s="14"/>
      <c r="J44" s="14"/>
      <c r="K44" s="14"/>
      <c r="L44" s="14"/>
      <c r="M44" s="14"/>
      <c r="N44" s="14"/>
      <c r="O44" s="14"/>
      <c r="P44" s="14"/>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15"/>
      <c r="BG44" s="16">
        <f t="shared" si="1"/>
        <v>0</v>
      </c>
    </row>
    <row r="45" spans="2:61" ht="19.95" customHeight="1" thickBot="1" x14ac:dyDescent="0.3">
      <c r="B45" s="72"/>
      <c r="C45" s="75"/>
      <c r="D45" s="41" t="s">
        <v>3</v>
      </c>
      <c r="E45" s="9"/>
      <c r="F45" s="10"/>
      <c r="G45" s="10"/>
      <c r="H45" s="10"/>
      <c r="I45" s="10"/>
      <c r="J45" s="10"/>
      <c r="K45" s="10"/>
      <c r="L45" s="10"/>
      <c r="M45" s="10"/>
      <c r="N45" s="10"/>
      <c r="O45" s="10"/>
      <c r="P45" s="10"/>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11"/>
      <c r="BG45" s="17">
        <f t="shared" si="1"/>
        <v>0</v>
      </c>
    </row>
    <row r="46" spans="2:61" ht="19.95" customHeight="1" x14ac:dyDescent="0.25">
      <c r="B46" s="2"/>
      <c r="C46" s="52" t="s">
        <v>5</v>
      </c>
      <c r="D46" s="18" t="s">
        <v>2</v>
      </c>
      <c r="E46" s="44">
        <f t="array" ref="E46">SUM(E6:E45 *(MOD(ROW(E6:E45), 2) = 0))</f>
        <v>11</v>
      </c>
      <c r="F46" s="44">
        <f t="array" ref="F46">SUM(F6:F45 *(MOD(ROW(F6:F45), 2) = 0))</f>
        <v>8</v>
      </c>
      <c r="G46" s="44">
        <f t="array" ref="G46">SUM(G6:G45 *(MOD(ROW(G6:G45), 2) = 0))</f>
        <v>20</v>
      </c>
      <c r="H46" s="44">
        <f t="array" ref="H46">SUM(H6:H45 *(MOD(ROW(H6:H45), 2) = 0))</f>
        <v>4</v>
      </c>
      <c r="I46" s="44">
        <f t="array" ref="I46">SUM(I6:I45 *(MOD(ROW(I6:I45), 2) = 0))</f>
        <v>10</v>
      </c>
      <c r="J46" s="44">
        <f t="array" ref="J46">SUM(J6:J45 *(MOD(ROW(J6:J45), 2) = 0))</f>
        <v>0</v>
      </c>
      <c r="K46" s="44">
        <f t="array" ref="K46">SUM(K6:K45 *(MOD(ROW(K6:K45), 2) = 0))</f>
        <v>0</v>
      </c>
      <c r="L46" s="44">
        <f t="array" ref="L46">SUM(L6:L45 *(MOD(ROW(L6:L45), 2) = 0))</f>
        <v>0</v>
      </c>
      <c r="M46" s="44">
        <f t="array" ref="M46">SUM(M6:M45 *(MOD(ROW(M6:M45), 2) = 0))</f>
        <v>0</v>
      </c>
      <c r="N46" s="44">
        <f t="array" ref="N46">SUM(N6:N45 *(MOD(ROW(N6:N45), 2) = 0))</f>
        <v>0</v>
      </c>
      <c r="O46" s="44">
        <f t="array" ref="O46">SUM(O6:O45 *(MOD(ROW(O6:O45), 2) = 0))</f>
        <v>0</v>
      </c>
      <c r="P46" s="44">
        <f t="array" ref="P46">SUM(P6:P45 *(MOD(ROW(P6:P45), 2) = 0))</f>
        <v>0</v>
      </c>
      <c r="Q46" s="44">
        <f t="array" ref="Q46">SUM(Q6:Q45 *(MOD(ROW(Q6:Q45), 2) = 0))</f>
        <v>0</v>
      </c>
      <c r="R46" s="44">
        <f t="array" ref="R46">SUM(R6:R45 *(MOD(ROW(R6:R45), 2) = 0))</f>
        <v>0</v>
      </c>
      <c r="S46" s="44">
        <f t="array" ref="S46">SUM(S6:S45 *(MOD(ROW(S6:S45), 2) = 0))</f>
        <v>0</v>
      </c>
      <c r="T46" s="44">
        <f t="array" ref="T46">SUM(T6:T45 *(MOD(ROW(T6:T45), 2) = 0))</f>
        <v>0</v>
      </c>
      <c r="U46" s="44">
        <f t="array" ref="U46">SUM(U6:U45 *(MOD(ROW(U6:U45), 2) = 0))</f>
        <v>0</v>
      </c>
      <c r="V46" s="44">
        <f t="array" ref="V46">SUM(V6:V45 *(MOD(ROW(V6:V45), 2) = 0))</f>
        <v>0</v>
      </c>
      <c r="W46" s="44">
        <f t="array" ref="W46">SUM(W6:W45 *(MOD(ROW(W6:W45), 2) = 0))</f>
        <v>0</v>
      </c>
      <c r="X46" s="44">
        <f t="array" ref="X46">SUM(X6:X45 *(MOD(ROW(X6:X45), 2) = 0))</f>
        <v>0</v>
      </c>
      <c r="Y46" s="44">
        <f t="array" ref="Y46">SUM(Y6:Y45 *(MOD(ROW(Y6:Y45), 2) = 0))</f>
        <v>0</v>
      </c>
      <c r="Z46" s="44">
        <f t="array" ref="Z46">SUM(Z6:Z45 *(MOD(ROW(Z6:Z45), 2) = 0))</f>
        <v>0</v>
      </c>
      <c r="AA46" s="44">
        <f t="array" ref="AA46">SUM(AA6:AA45 *(MOD(ROW(AA6:AA45), 2) = 0))</f>
        <v>0</v>
      </c>
      <c r="AB46" s="44">
        <f t="array" ref="AB46">SUM(AB6:AB45 *(MOD(ROW(AB6:AB45), 2) = 0))</f>
        <v>0</v>
      </c>
      <c r="AC46" s="44">
        <f t="array" ref="AC46">SUM(AC6:AC45 *(MOD(ROW(AC6:AC45), 2) = 0))</f>
        <v>0</v>
      </c>
      <c r="AD46" s="44">
        <f t="array" ref="AD46">SUM(AD6:AD45 *(MOD(ROW(AD6:AD45), 2) = 0))</f>
        <v>0</v>
      </c>
      <c r="AE46" s="44">
        <f t="array" ref="AE46">SUM(AE6:AE45 *(MOD(ROW(AE6:AE45), 2) = 0))</f>
        <v>0</v>
      </c>
      <c r="AF46" s="44">
        <f t="array" ref="AF46">SUM(AF6:AF45 *(MOD(ROW(AF6:AF45), 2) = 0))</f>
        <v>0</v>
      </c>
      <c r="AG46" s="44">
        <f t="array" ref="AG46">SUM(AG6:AG45 *(MOD(ROW(AG6:AG45), 2) = 0))</f>
        <v>0</v>
      </c>
      <c r="AH46" s="44">
        <f t="array" ref="AH46">SUM(AH6:AH45 *(MOD(ROW(AH6:AH45), 2) = 0))</f>
        <v>0</v>
      </c>
      <c r="AI46" s="44">
        <f t="array" ref="AI46">SUM(AI6:AI45 *(MOD(ROW(AI6:AI45), 2) = 0))</f>
        <v>0</v>
      </c>
      <c r="AJ46" s="44">
        <f t="array" ref="AJ46">SUM(AJ6:AJ45 *(MOD(ROW(AJ6:AJ45), 2) = 0))</f>
        <v>0</v>
      </c>
      <c r="AK46" s="44">
        <f t="array" ref="AK46">SUM(AK6:AK45 *(MOD(ROW(AK6:AK45), 2) = 0))</f>
        <v>0</v>
      </c>
      <c r="AL46" s="44">
        <f t="array" ref="AL46">SUM(AL6:AL45 *(MOD(ROW(AL6:AL45), 2) = 0))</f>
        <v>0</v>
      </c>
      <c r="AM46" s="44">
        <f t="array" ref="AM46">SUM(AM6:AM45 *(MOD(ROW(AM6:AM45), 2) = 0))</f>
        <v>0</v>
      </c>
      <c r="AN46" s="44">
        <f t="array" ref="AN46">SUM(AN6:AN45 *(MOD(ROW(AN6:AN45), 2) = 0))</f>
        <v>0</v>
      </c>
      <c r="AO46" s="44">
        <f t="array" ref="AO46">SUM(AO6:AO45 *(MOD(ROW(AO6:AO45), 2) = 0))</f>
        <v>0</v>
      </c>
      <c r="AP46" s="44">
        <f t="array" ref="AP46">SUM(AP6:AP45 *(MOD(ROW(AP6:AP45), 2) = 0))</f>
        <v>0</v>
      </c>
      <c r="AQ46" s="44">
        <f t="array" ref="AQ46">SUM(AQ6:AQ45 *(MOD(ROW(AQ6:AQ45), 2) = 0))</f>
        <v>0</v>
      </c>
      <c r="AR46" s="44">
        <f t="array" ref="AR46">SUM(AR6:AR45 *(MOD(ROW(AR6:AR45), 2) = 0))</f>
        <v>0</v>
      </c>
      <c r="AS46" s="44">
        <f t="array" ref="AS46">SUM(AS6:AS45 *(MOD(ROW(AS6:AS45), 2) = 0))</f>
        <v>0</v>
      </c>
      <c r="AT46" s="44">
        <f t="array" ref="AT46">SUM(AT6:AT45 *(MOD(ROW(AT6:AT45), 2) = 0))</f>
        <v>0</v>
      </c>
      <c r="AU46" s="44">
        <f t="array" ref="AU46">SUM(AU6:AU45 *(MOD(ROW(AU6:AU45), 2) = 0))</f>
        <v>0</v>
      </c>
      <c r="AV46" s="44">
        <f t="array" ref="AV46">SUM(AV6:AV45 *(MOD(ROW(AV6:AV45), 2) = 0))</f>
        <v>0</v>
      </c>
      <c r="AW46" s="44">
        <f t="array" ref="AW46">SUM(AW6:AW45 *(MOD(ROW(AW6:AW45), 2) = 0))</f>
        <v>0</v>
      </c>
      <c r="AX46" s="44">
        <f t="array" ref="AX46">SUM(AX6:AX45 *(MOD(ROW(AX6:AX45), 2) = 0))</f>
        <v>0</v>
      </c>
      <c r="AY46" s="44">
        <f t="array" ref="AY46">SUM(AY6:AY45 *(MOD(ROW(AY6:AY45), 2) = 0))</f>
        <v>0</v>
      </c>
      <c r="AZ46" s="44">
        <f t="array" ref="AZ46">SUM(AZ6:AZ45 *(MOD(ROW(AZ6:AZ45), 2) = 0))</f>
        <v>0</v>
      </c>
      <c r="BA46" s="44">
        <f t="array" ref="BA46">SUM(BA6:BA45 *(MOD(ROW(BA6:BA45), 2) = 0))</f>
        <v>0</v>
      </c>
      <c r="BB46" s="44">
        <f t="array" ref="BB46">SUM(BB6:BB45 *(MOD(ROW(BB6:BB45), 2) = 0))</f>
        <v>0</v>
      </c>
      <c r="BC46" s="44">
        <f t="array" ref="BC46">SUM(BC6:BC45 *(MOD(ROW(BC6:BC45), 2) = 0))</f>
        <v>0</v>
      </c>
      <c r="BD46" s="44">
        <f t="array" ref="BD46">SUM(BD6:BD45 *(MOD(ROW(BD6:BD45), 2) = 0))</f>
        <v>0</v>
      </c>
      <c r="BE46" s="44">
        <f t="array" ref="BE46">SUM(BE6:BE45 *(MOD(ROW(BE6:BE45), 2) = 0))</f>
        <v>0</v>
      </c>
      <c r="BF46" s="44">
        <f t="array" ref="BF46">SUM(BF6:BF45 *(MOD(ROW(BF6:BF45), 2) = 0))</f>
        <v>0</v>
      </c>
      <c r="BG46" s="45">
        <f>SUM(E46:BF46)</f>
        <v>53</v>
      </c>
    </row>
    <row r="47" spans="2:61" ht="19.95" customHeight="1" x14ac:dyDescent="0.25">
      <c r="B47" s="3"/>
      <c r="C47" s="53" t="s">
        <v>10</v>
      </c>
      <c r="D47" s="19" t="s">
        <v>2</v>
      </c>
      <c r="E47" s="46">
        <f>E46</f>
        <v>11</v>
      </c>
      <c r="F47" s="46">
        <f>IF(F46=0,NA(),_xlfn.AGGREGATE(4,6,E47)+F46)</f>
        <v>19</v>
      </c>
      <c r="G47" s="46">
        <f>IF(G46=0,NA(),_xlfn.AGGREGATE(4,6,E47:F47)+G46)</f>
        <v>39</v>
      </c>
      <c r="H47" s="46">
        <f>IF(H46=0,NA(),_xlfn.AGGREGATE(4,6,E47:G47)+H46)</f>
        <v>43</v>
      </c>
      <c r="I47" s="46">
        <f>IF(I46=0,NA(),_xlfn.AGGREGATE(4,6,E47:H47)+I46)</f>
        <v>53</v>
      </c>
      <c r="J47" s="46" t="e">
        <f>IF(J46=0,NA(),_xlfn.AGGREGATE(4,6,E47:I47)+J46)</f>
        <v>#N/A</v>
      </c>
      <c r="K47" s="46" t="e">
        <f>IF(K46=0,NA(),_xlfn.AGGREGATE(4,6,E47:J47)+K46)</f>
        <v>#N/A</v>
      </c>
      <c r="L47" s="46" t="e">
        <f>IF(L46=0,NA(),_xlfn.AGGREGATE(4,6,E47:K47)+L46)</f>
        <v>#N/A</v>
      </c>
      <c r="M47" s="46" t="e">
        <f>IF(M46=0,NA(),_xlfn.AGGREGATE(4,6,E47:L47)+M46)</f>
        <v>#N/A</v>
      </c>
      <c r="N47" s="46" t="e">
        <f>IF(N46=0,NA(),_xlfn.AGGREGATE(4,6,E47:M47)+N46)</f>
        <v>#N/A</v>
      </c>
      <c r="O47" s="46" t="e">
        <f>IF(O46=0,NA(),_xlfn.AGGREGATE(4,6,E47:N47)+O46)</f>
        <v>#N/A</v>
      </c>
      <c r="P47" s="46" t="e">
        <f>IF(P46=0,NA(),_xlfn.AGGREGATE(4,6,E47:O47)+P46)</f>
        <v>#N/A</v>
      </c>
      <c r="Q47" s="46" t="e">
        <f t="shared" ref="Q47:BF47" si="2">IF(Q46=0,NA(),_xlfn.AGGREGATE(4,6,F47:P47)+Q46)</f>
        <v>#N/A</v>
      </c>
      <c r="R47" s="46" t="e">
        <f t="shared" si="2"/>
        <v>#N/A</v>
      </c>
      <c r="S47" s="46" t="e">
        <f t="shared" si="2"/>
        <v>#N/A</v>
      </c>
      <c r="T47" s="46" t="e">
        <f t="shared" si="2"/>
        <v>#N/A</v>
      </c>
      <c r="U47" s="46" t="e">
        <f t="shared" si="2"/>
        <v>#N/A</v>
      </c>
      <c r="V47" s="46" t="e">
        <f t="shared" si="2"/>
        <v>#N/A</v>
      </c>
      <c r="W47" s="46" t="e">
        <f t="shared" si="2"/>
        <v>#N/A</v>
      </c>
      <c r="X47" s="46" t="e">
        <f t="shared" si="2"/>
        <v>#N/A</v>
      </c>
      <c r="Y47" s="46" t="e">
        <f t="shared" si="2"/>
        <v>#N/A</v>
      </c>
      <c r="Z47" s="46" t="e">
        <f t="shared" si="2"/>
        <v>#N/A</v>
      </c>
      <c r="AA47" s="46" t="e">
        <f t="shared" si="2"/>
        <v>#N/A</v>
      </c>
      <c r="AB47" s="46" t="e">
        <f t="shared" si="2"/>
        <v>#N/A</v>
      </c>
      <c r="AC47" s="46" t="e">
        <f t="shared" si="2"/>
        <v>#N/A</v>
      </c>
      <c r="AD47" s="46" t="e">
        <f t="shared" si="2"/>
        <v>#N/A</v>
      </c>
      <c r="AE47" s="46" t="e">
        <f t="shared" si="2"/>
        <v>#N/A</v>
      </c>
      <c r="AF47" s="46" t="e">
        <f t="shared" si="2"/>
        <v>#N/A</v>
      </c>
      <c r="AG47" s="46" t="e">
        <f t="shared" si="2"/>
        <v>#N/A</v>
      </c>
      <c r="AH47" s="46" t="e">
        <f t="shared" si="2"/>
        <v>#N/A</v>
      </c>
      <c r="AI47" s="46" t="e">
        <f t="shared" si="2"/>
        <v>#N/A</v>
      </c>
      <c r="AJ47" s="46" t="e">
        <f t="shared" si="2"/>
        <v>#N/A</v>
      </c>
      <c r="AK47" s="46" t="e">
        <f t="shared" si="2"/>
        <v>#N/A</v>
      </c>
      <c r="AL47" s="46" t="e">
        <f t="shared" si="2"/>
        <v>#N/A</v>
      </c>
      <c r="AM47" s="46" t="e">
        <f t="shared" si="2"/>
        <v>#N/A</v>
      </c>
      <c r="AN47" s="46" t="e">
        <f t="shared" si="2"/>
        <v>#N/A</v>
      </c>
      <c r="AO47" s="46" t="e">
        <f t="shared" si="2"/>
        <v>#N/A</v>
      </c>
      <c r="AP47" s="46" t="e">
        <f t="shared" si="2"/>
        <v>#N/A</v>
      </c>
      <c r="AQ47" s="46" t="e">
        <f t="shared" si="2"/>
        <v>#N/A</v>
      </c>
      <c r="AR47" s="46" t="e">
        <f t="shared" si="2"/>
        <v>#N/A</v>
      </c>
      <c r="AS47" s="46" t="e">
        <f t="shared" si="2"/>
        <v>#N/A</v>
      </c>
      <c r="AT47" s="46" t="e">
        <f t="shared" si="2"/>
        <v>#N/A</v>
      </c>
      <c r="AU47" s="46" t="e">
        <f t="shared" si="2"/>
        <v>#N/A</v>
      </c>
      <c r="AV47" s="46" t="e">
        <f t="shared" si="2"/>
        <v>#N/A</v>
      </c>
      <c r="AW47" s="46" t="e">
        <f t="shared" si="2"/>
        <v>#N/A</v>
      </c>
      <c r="AX47" s="46" t="e">
        <f t="shared" si="2"/>
        <v>#N/A</v>
      </c>
      <c r="AY47" s="46" t="e">
        <f t="shared" si="2"/>
        <v>#N/A</v>
      </c>
      <c r="AZ47" s="46" t="e">
        <f t="shared" si="2"/>
        <v>#N/A</v>
      </c>
      <c r="BA47" s="46" t="e">
        <f t="shared" si="2"/>
        <v>#N/A</v>
      </c>
      <c r="BB47" s="46" t="e">
        <f t="shared" si="2"/>
        <v>#N/A</v>
      </c>
      <c r="BC47" s="46" t="e">
        <f t="shared" si="2"/>
        <v>#N/A</v>
      </c>
      <c r="BD47" s="46" t="e">
        <f t="shared" si="2"/>
        <v>#N/A</v>
      </c>
      <c r="BE47" s="46" t="e">
        <f t="shared" si="2"/>
        <v>#N/A</v>
      </c>
      <c r="BF47" s="46" t="e">
        <f t="shared" si="2"/>
        <v>#N/A</v>
      </c>
      <c r="BG47" s="47"/>
    </row>
    <row r="48" spans="2:61" ht="19.95" customHeight="1" x14ac:dyDescent="0.25">
      <c r="B48" s="3"/>
      <c r="C48" s="53" t="s">
        <v>6</v>
      </c>
      <c r="D48" s="19" t="s">
        <v>3</v>
      </c>
      <c r="E48" s="48">
        <f t="array" ref="E48">SUM(E6:E45 *(MOD(ROW(E6:E45), 2) = 1))</f>
        <v>11</v>
      </c>
      <c r="F48" s="48">
        <f t="array" ref="F48">SUM(F6:F45 *(MOD(ROW(F6:F45), 2) = 1))</f>
        <v>15</v>
      </c>
      <c r="G48" s="48">
        <f t="array" ref="G48">SUM(G6:G45 *(MOD(ROW(G6:G45), 2) = 1))</f>
        <v>24</v>
      </c>
      <c r="H48" s="48">
        <f t="array" ref="H48">SUM(H6:H45 *(MOD(ROW(H6:H45), 2) = 1))</f>
        <v>6</v>
      </c>
      <c r="I48" s="48" cm="1">
        <f t="array" ref="I48">SUM(I6:I45 *(MOD(ROW(I6:I45), 2) = 1))</f>
        <v>9</v>
      </c>
      <c r="J48" s="48">
        <f t="array" ref="J48">SUM(J6:J45 *(MOD(ROW(J6:J45), 2) = 1))</f>
        <v>0</v>
      </c>
      <c r="K48" s="48">
        <f t="array" ref="K48">SUM(K6:K45 *(MOD(ROW(K6:K45), 2) = 1))</f>
        <v>0</v>
      </c>
      <c r="L48" s="48">
        <f t="array" ref="L48">SUM(L6:L45 *(MOD(ROW(L6:L45), 2) = 1))</f>
        <v>0</v>
      </c>
      <c r="M48" s="48">
        <f t="array" ref="M48">SUM(M6:M45 *(MOD(ROW(M6:M45), 2) = 1))</f>
        <v>0</v>
      </c>
      <c r="N48" s="48">
        <f t="array" ref="N48">SUM(N6:N45 *(MOD(ROW(N6:N45), 2) = 1))</f>
        <v>0</v>
      </c>
      <c r="O48" s="48">
        <f t="array" ref="O48">SUM(O6:O45 *(MOD(ROW(O6:O45), 2) = 1))</f>
        <v>0</v>
      </c>
      <c r="P48" s="48">
        <f t="array" ref="P48">SUM(P6:P45 *(MOD(ROW(P6:P45), 2) = 1))</f>
        <v>0</v>
      </c>
      <c r="Q48" s="48">
        <f t="array" ref="Q48">SUM(Q6:Q45 *(MOD(ROW(Q6:Q45), 2) = 1))</f>
        <v>0</v>
      </c>
      <c r="R48" s="48">
        <f t="array" ref="R48">SUM(R6:R45 *(MOD(ROW(R6:R45), 2) = 1))</f>
        <v>0</v>
      </c>
      <c r="S48" s="48">
        <f t="array" ref="S48">SUM(S6:S45 *(MOD(ROW(S6:S45), 2) = 1))</f>
        <v>0</v>
      </c>
      <c r="T48" s="48">
        <f t="array" ref="T48">SUM(T6:T45 *(MOD(ROW(T6:T45), 2) = 1))</f>
        <v>0</v>
      </c>
      <c r="U48" s="48">
        <f t="array" ref="U48">SUM(U6:U45 *(MOD(ROW(U6:U45), 2) = 1))</f>
        <v>0</v>
      </c>
      <c r="V48" s="48">
        <f t="array" ref="V48">SUM(V6:V45 *(MOD(ROW(V6:V45), 2) = 1))</f>
        <v>0</v>
      </c>
      <c r="W48" s="48">
        <f t="array" ref="W48">SUM(W6:W45 *(MOD(ROW(W6:W45), 2) = 1))</f>
        <v>0</v>
      </c>
      <c r="X48" s="48">
        <f t="array" ref="X48">SUM(X6:X45 *(MOD(ROW(X6:X45), 2) = 1))</f>
        <v>0</v>
      </c>
      <c r="Y48" s="48">
        <f t="array" ref="Y48">SUM(Y6:Y45 *(MOD(ROW(Y6:Y45), 2) = 1))</f>
        <v>0</v>
      </c>
      <c r="Z48" s="48">
        <f t="array" ref="Z48">SUM(Z6:Z45 *(MOD(ROW(Z6:Z45), 2) = 1))</f>
        <v>0</v>
      </c>
      <c r="AA48" s="48">
        <f t="array" ref="AA48">SUM(AA6:AA45 *(MOD(ROW(AA6:AA45), 2) = 1))</f>
        <v>0</v>
      </c>
      <c r="AB48" s="48">
        <f t="array" ref="AB48">SUM(AB6:AB45 *(MOD(ROW(AB6:AB45), 2) = 1))</f>
        <v>0</v>
      </c>
      <c r="AC48" s="48">
        <f t="array" ref="AC48">SUM(AC6:AC45 *(MOD(ROW(AC6:AC45), 2) = 1))</f>
        <v>0</v>
      </c>
      <c r="AD48" s="48">
        <f t="array" ref="AD48">SUM(AD6:AD45 *(MOD(ROW(AD6:AD45), 2) = 1))</f>
        <v>0</v>
      </c>
      <c r="AE48" s="48">
        <f t="array" ref="AE48">SUM(AE6:AE45 *(MOD(ROW(AE6:AE45), 2) = 1))</f>
        <v>0</v>
      </c>
      <c r="AF48" s="48">
        <f t="array" ref="AF48">SUM(AF6:AF45 *(MOD(ROW(AF6:AF45), 2) = 1))</f>
        <v>0</v>
      </c>
      <c r="AG48" s="48">
        <f t="array" ref="AG48">SUM(AG6:AG45 *(MOD(ROW(AG6:AG45), 2) = 1))</f>
        <v>0</v>
      </c>
      <c r="AH48" s="48">
        <f t="array" ref="AH48">SUM(AH6:AH45 *(MOD(ROW(AH6:AH45), 2) = 1))</f>
        <v>0</v>
      </c>
      <c r="AI48" s="48">
        <f t="array" ref="AI48">SUM(AI6:AI45 *(MOD(ROW(AI6:AI45), 2) = 1))</f>
        <v>0</v>
      </c>
      <c r="AJ48" s="48">
        <f t="array" ref="AJ48">SUM(AJ6:AJ45 *(MOD(ROW(AJ6:AJ45), 2) = 1))</f>
        <v>0</v>
      </c>
      <c r="AK48" s="48">
        <f t="array" ref="AK48">SUM(AK6:AK45 *(MOD(ROW(AK6:AK45), 2) = 1))</f>
        <v>0</v>
      </c>
      <c r="AL48" s="48">
        <f t="array" ref="AL48">SUM(AL6:AL45 *(MOD(ROW(AL6:AL45), 2) = 1))</f>
        <v>0</v>
      </c>
      <c r="AM48" s="48">
        <f t="array" ref="AM48">SUM(AM6:AM45 *(MOD(ROW(AM6:AM45), 2) = 1))</f>
        <v>0</v>
      </c>
      <c r="AN48" s="48">
        <f t="array" ref="AN48">SUM(AN6:AN45 *(MOD(ROW(AN6:AN45), 2) = 1))</f>
        <v>0</v>
      </c>
      <c r="AO48" s="48">
        <f t="array" ref="AO48">SUM(AO6:AO45 *(MOD(ROW(AO6:AO45), 2) = 1))</f>
        <v>0</v>
      </c>
      <c r="AP48" s="48">
        <f t="array" ref="AP48">SUM(AP6:AP45 *(MOD(ROW(AP6:AP45), 2) = 1))</f>
        <v>0</v>
      </c>
      <c r="AQ48" s="48">
        <f t="array" ref="AQ48">SUM(AQ6:AQ45 *(MOD(ROW(AQ6:AQ45), 2) = 1))</f>
        <v>0</v>
      </c>
      <c r="AR48" s="48">
        <f t="array" ref="AR48">SUM(AR6:AR45 *(MOD(ROW(AR6:AR45), 2) = 1))</f>
        <v>0</v>
      </c>
      <c r="AS48" s="48">
        <f t="array" ref="AS48">SUM(AS6:AS45 *(MOD(ROW(AS6:AS45), 2) = 1))</f>
        <v>0</v>
      </c>
      <c r="AT48" s="48">
        <f t="array" ref="AT48">SUM(AT6:AT45 *(MOD(ROW(AT6:AT45), 2) = 1))</f>
        <v>0</v>
      </c>
      <c r="AU48" s="48">
        <f t="array" ref="AU48">SUM(AU6:AU45 *(MOD(ROW(AU6:AU45), 2) = 1))</f>
        <v>0</v>
      </c>
      <c r="AV48" s="48">
        <f t="array" ref="AV48">SUM(AV6:AV45 *(MOD(ROW(AV6:AV45), 2) = 1))</f>
        <v>0</v>
      </c>
      <c r="AW48" s="48">
        <f t="array" ref="AW48">SUM(AW6:AW45 *(MOD(ROW(AW6:AW45), 2) = 1))</f>
        <v>0</v>
      </c>
      <c r="AX48" s="48">
        <f t="array" ref="AX48">SUM(AX6:AX45 *(MOD(ROW(AX6:AX45), 2) = 1))</f>
        <v>0</v>
      </c>
      <c r="AY48" s="48">
        <f t="array" ref="AY48">SUM(AY6:AY45 *(MOD(ROW(AY6:AY45), 2) = 1))</f>
        <v>0</v>
      </c>
      <c r="AZ48" s="48">
        <f t="array" ref="AZ48">SUM(AZ6:AZ45 *(MOD(ROW(AZ6:AZ45), 2) = 1))</f>
        <v>0</v>
      </c>
      <c r="BA48" s="48">
        <f t="array" ref="BA48">SUM(BA6:BA45 *(MOD(ROW(BA6:BA45), 2) = 1))</f>
        <v>0</v>
      </c>
      <c r="BB48" s="48">
        <f t="array" ref="BB48">SUM(BB6:BB45 *(MOD(ROW(BB6:BB45), 2) = 1))</f>
        <v>0</v>
      </c>
      <c r="BC48" s="48">
        <f t="array" ref="BC48">SUM(BC6:BC45 *(MOD(ROW(BC6:BC45), 2) = 1))</f>
        <v>0</v>
      </c>
      <c r="BD48" s="48">
        <f t="array" ref="BD48">SUM(BD6:BD45 *(MOD(ROW(BD6:BD45), 2) = 1))</f>
        <v>0</v>
      </c>
      <c r="BE48" s="48">
        <f t="array" ref="BE48">SUM(BE6:BE45 *(MOD(ROW(BE6:BE45), 2) = 1))</f>
        <v>0</v>
      </c>
      <c r="BF48" s="48">
        <f t="array" ref="BF48">SUM(BF6:BF45 *(MOD(ROW(BF6:BF45), 2) = 1))</f>
        <v>0</v>
      </c>
      <c r="BG48" s="49">
        <f>SUM(E48:BF48)</f>
        <v>65</v>
      </c>
    </row>
    <row r="49" spans="2:59" ht="19.95" customHeight="1" thickBot="1" x14ac:dyDescent="0.3">
      <c r="B49" s="4"/>
      <c r="C49" s="54" t="s">
        <v>11</v>
      </c>
      <c r="D49" s="20" t="s">
        <v>3</v>
      </c>
      <c r="E49" s="50">
        <f>E48</f>
        <v>11</v>
      </c>
      <c r="F49" s="50">
        <f>IF(F48=0,NA(),_xlfn.AGGREGATE(4,6,E49)+F48)</f>
        <v>26</v>
      </c>
      <c r="G49" s="50">
        <f>IF(G48=0,NA(),_xlfn.AGGREGATE(4,6,E49:F49)+G48)</f>
        <v>50</v>
      </c>
      <c r="H49" s="50">
        <f>IF(H48=0,NA(),_xlfn.AGGREGATE(4,6,E49:G49)+H48)</f>
        <v>56</v>
      </c>
      <c r="I49" s="50">
        <f>IF(I48=0,NA(),_xlfn.AGGREGATE(4,6,E49:H49)+I48)</f>
        <v>65</v>
      </c>
      <c r="J49" s="50" t="e">
        <f>IF(J48=0,NA(),_xlfn.AGGREGATE(4,6,E49:I49)+J48)</f>
        <v>#N/A</v>
      </c>
      <c r="K49" s="50" t="e">
        <f>IF(K48=0,NA(),_xlfn.AGGREGATE(4,6,E49:J49)+K48)</f>
        <v>#N/A</v>
      </c>
      <c r="L49" s="50" t="e">
        <f>IF(L48=0,NA(),_xlfn.AGGREGATE(4,6,E49:K49)+L48)</f>
        <v>#N/A</v>
      </c>
      <c r="M49" s="50" t="e">
        <f>IF(M48=0,NA(),_xlfn.AGGREGATE(4,6,E49:L49)+M48)</f>
        <v>#N/A</v>
      </c>
      <c r="N49" s="50" t="e">
        <f>IF(N48=0,NA(),_xlfn.AGGREGATE(4,6,E49:M49)+N48)</f>
        <v>#N/A</v>
      </c>
      <c r="O49" s="50" t="e">
        <f>IF(O48=0,NA(),_xlfn.AGGREGATE(4,6,E49:N49)+O48)</f>
        <v>#N/A</v>
      </c>
      <c r="P49" s="50" t="e">
        <f>IF(P48=0,NA(),_xlfn.AGGREGATE(4,6,E49:O49)+P48)</f>
        <v>#N/A</v>
      </c>
      <c r="Q49" s="50" t="e">
        <f t="shared" ref="Q49:BF49" si="3">IF(Q48=0,NA(),_xlfn.AGGREGATE(4,6,F49:P49)+Q48)</f>
        <v>#N/A</v>
      </c>
      <c r="R49" s="50" t="e">
        <f t="shared" si="3"/>
        <v>#N/A</v>
      </c>
      <c r="S49" s="50" t="e">
        <f t="shared" si="3"/>
        <v>#N/A</v>
      </c>
      <c r="T49" s="50" t="e">
        <f t="shared" si="3"/>
        <v>#N/A</v>
      </c>
      <c r="U49" s="50" t="e">
        <f t="shared" si="3"/>
        <v>#N/A</v>
      </c>
      <c r="V49" s="50" t="e">
        <f t="shared" si="3"/>
        <v>#N/A</v>
      </c>
      <c r="W49" s="50" t="e">
        <f t="shared" si="3"/>
        <v>#N/A</v>
      </c>
      <c r="X49" s="50" t="e">
        <f t="shared" si="3"/>
        <v>#N/A</v>
      </c>
      <c r="Y49" s="50" t="e">
        <f t="shared" si="3"/>
        <v>#N/A</v>
      </c>
      <c r="Z49" s="50" t="e">
        <f t="shared" si="3"/>
        <v>#N/A</v>
      </c>
      <c r="AA49" s="50" t="e">
        <f t="shared" si="3"/>
        <v>#N/A</v>
      </c>
      <c r="AB49" s="50" t="e">
        <f t="shared" si="3"/>
        <v>#N/A</v>
      </c>
      <c r="AC49" s="50" t="e">
        <f t="shared" si="3"/>
        <v>#N/A</v>
      </c>
      <c r="AD49" s="50" t="e">
        <f t="shared" si="3"/>
        <v>#N/A</v>
      </c>
      <c r="AE49" s="50" t="e">
        <f t="shared" si="3"/>
        <v>#N/A</v>
      </c>
      <c r="AF49" s="50" t="e">
        <f t="shared" si="3"/>
        <v>#N/A</v>
      </c>
      <c r="AG49" s="50" t="e">
        <f t="shared" si="3"/>
        <v>#N/A</v>
      </c>
      <c r="AH49" s="50" t="e">
        <f t="shared" si="3"/>
        <v>#N/A</v>
      </c>
      <c r="AI49" s="50" t="e">
        <f t="shared" si="3"/>
        <v>#N/A</v>
      </c>
      <c r="AJ49" s="50" t="e">
        <f t="shared" si="3"/>
        <v>#N/A</v>
      </c>
      <c r="AK49" s="50" t="e">
        <f t="shared" si="3"/>
        <v>#N/A</v>
      </c>
      <c r="AL49" s="50" t="e">
        <f t="shared" si="3"/>
        <v>#N/A</v>
      </c>
      <c r="AM49" s="50" t="e">
        <f t="shared" si="3"/>
        <v>#N/A</v>
      </c>
      <c r="AN49" s="50" t="e">
        <f t="shared" si="3"/>
        <v>#N/A</v>
      </c>
      <c r="AO49" s="50" t="e">
        <f t="shared" si="3"/>
        <v>#N/A</v>
      </c>
      <c r="AP49" s="50" t="e">
        <f t="shared" si="3"/>
        <v>#N/A</v>
      </c>
      <c r="AQ49" s="50" t="e">
        <f t="shared" si="3"/>
        <v>#N/A</v>
      </c>
      <c r="AR49" s="50" t="e">
        <f t="shared" si="3"/>
        <v>#N/A</v>
      </c>
      <c r="AS49" s="50" t="e">
        <f t="shared" si="3"/>
        <v>#N/A</v>
      </c>
      <c r="AT49" s="50" t="e">
        <f t="shared" si="3"/>
        <v>#N/A</v>
      </c>
      <c r="AU49" s="50" t="e">
        <f t="shared" si="3"/>
        <v>#N/A</v>
      </c>
      <c r="AV49" s="50" t="e">
        <f t="shared" si="3"/>
        <v>#N/A</v>
      </c>
      <c r="AW49" s="50" t="e">
        <f t="shared" si="3"/>
        <v>#N/A</v>
      </c>
      <c r="AX49" s="50" t="e">
        <f t="shared" si="3"/>
        <v>#N/A</v>
      </c>
      <c r="AY49" s="50" t="e">
        <f t="shared" si="3"/>
        <v>#N/A</v>
      </c>
      <c r="AZ49" s="50" t="e">
        <f t="shared" si="3"/>
        <v>#N/A</v>
      </c>
      <c r="BA49" s="50" t="e">
        <f t="shared" si="3"/>
        <v>#N/A</v>
      </c>
      <c r="BB49" s="50" t="e">
        <f t="shared" si="3"/>
        <v>#N/A</v>
      </c>
      <c r="BC49" s="50" t="e">
        <f t="shared" si="3"/>
        <v>#N/A</v>
      </c>
      <c r="BD49" s="50" t="e">
        <f t="shared" si="3"/>
        <v>#N/A</v>
      </c>
      <c r="BE49" s="50" t="e">
        <f t="shared" si="3"/>
        <v>#N/A</v>
      </c>
      <c r="BF49" s="50" t="e">
        <f t="shared" si="3"/>
        <v>#N/A</v>
      </c>
      <c r="BG49" s="51"/>
    </row>
    <row r="50" spans="2:59" x14ac:dyDescent="0.25">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row>
    <row r="51" spans="2:59" x14ac:dyDescent="0.25">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row>
    <row r="52" spans="2:59" x14ac:dyDescent="0.25">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row>
    <row r="53" spans="2:59" x14ac:dyDescent="0.25">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row>
    <row r="54" spans="2:59" x14ac:dyDescent="0.25">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row>
    <row r="55" spans="2:59" x14ac:dyDescent="0.25">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row>
    <row r="56" spans="2:59" x14ac:dyDescent="0.25">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row>
    <row r="57" spans="2:59" x14ac:dyDescent="0.25">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row>
    <row r="58" spans="2:59" x14ac:dyDescent="0.25">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row>
    <row r="59" spans="2:59" x14ac:dyDescent="0.25">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row>
    <row r="60" spans="2:59" x14ac:dyDescent="0.25">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row>
    <row r="61" spans="2:59" x14ac:dyDescent="0.25">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row>
    <row r="62" spans="2:59" x14ac:dyDescent="0.25">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row>
    <row r="63" spans="2:59" x14ac:dyDescent="0.25">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row>
    <row r="64" spans="2:59" x14ac:dyDescent="0.25">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row>
    <row r="65" spans="2:59" x14ac:dyDescent="0.25">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row>
    <row r="66" spans="2:59" x14ac:dyDescent="0.25">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row>
    <row r="67" spans="2:59" x14ac:dyDescent="0.25">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row>
    <row r="68" spans="2:59" x14ac:dyDescent="0.25">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row>
    <row r="69" spans="2:59" x14ac:dyDescent="0.25">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row>
    <row r="70" spans="2:59" x14ac:dyDescent="0.25">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row>
    <row r="71" spans="2:59" x14ac:dyDescent="0.25">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row>
    <row r="72" spans="2:59" x14ac:dyDescent="0.25">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row>
    <row r="73" spans="2:59" x14ac:dyDescent="0.25">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row>
    <row r="74" spans="2:59" x14ac:dyDescent="0.25">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row>
    <row r="75" spans="2:59" x14ac:dyDescent="0.25">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row>
  </sheetData>
  <autoFilter ref="B5:D49" xr:uid="{00000000-0009-0000-0000-000000000000}"/>
  <mergeCells count="41">
    <mergeCell ref="B40:B41"/>
    <mergeCell ref="C40:C41"/>
    <mergeCell ref="B42:B43"/>
    <mergeCell ref="C42:C43"/>
    <mergeCell ref="B44:B45"/>
    <mergeCell ref="C44:C45"/>
    <mergeCell ref="B34:B35"/>
    <mergeCell ref="C34:C35"/>
    <mergeCell ref="B36:B37"/>
    <mergeCell ref="C36:C37"/>
    <mergeCell ref="B38:B39"/>
    <mergeCell ref="C38:C39"/>
    <mergeCell ref="B28:B29"/>
    <mergeCell ref="C28:C29"/>
    <mergeCell ref="B30:B31"/>
    <mergeCell ref="C30:C31"/>
    <mergeCell ref="B32:B33"/>
    <mergeCell ref="C32:C33"/>
    <mergeCell ref="B22:B23"/>
    <mergeCell ref="C22:C23"/>
    <mergeCell ref="B24:B25"/>
    <mergeCell ref="C24:C25"/>
    <mergeCell ref="B26:B27"/>
    <mergeCell ref="C26:C27"/>
    <mergeCell ref="B16:B17"/>
    <mergeCell ref="C16:C17"/>
    <mergeCell ref="B18:B19"/>
    <mergeCell ref="C18:C19"/>
    <mergeCell ref="B20:B21"/>
    <mergeCell ref="C20:C21"/>
    <mergeCell ref="B10:B11"/>
    <mergeCell ref="C10:C11"/>
    <mergeCell ref="B12:B13"/>
    <mergeCell ref="C12:C13"/>
    <mergeCell ref="B14:B15"/>
    <mergeCell ref="C14:C15"/>
    <mergeCell ref="I3:K3"/>
    <mergeCell ref="B6:B7"/>
    <mergeCell ref="C6:C7"/>
    <mergeCell ref="B8:B9"/>
    <mergeCell ref="C8:C9"/>
  </mergeCells>
  <conditionalFormatting sqref="E7:BF7">
    <cfRule type="cellIs" dxfId="9" priority="7" operator="lessThan">
      <formula>E6</formula>
    </cfRule>
    <cfRule type="cellIs" dxfId="8" priority="8" operator="greaterThan">
      <formula>E6</formula>
    </cfRule>
  </conditionalFormatting>
  <conditionalFormatting sqref="E9:BF9">
    <cfRule type="cellIs" dxfId="7" priority="5" operator="lessThan">
      <formula>E$8</formula>
    </cfRule>
    <cfRule type="cellIs" dxfId="6" priority="6" operator="greaterThan">
      <formula>E$8</formula>
    </cfRule>
  </conditionalFormatting>
  <conditionalFormatting sqref="E11:BF11">
    <cfRule type="cellIs" dxfId="5" priority="3" operator="lessThan">
      <formula>E10</formula>
    </cfRule>
    <cfRule type="cellIs" dxfId="4" priority="4" operator="greaterThan">
      <formula>E10</formula>
    </cfRule>
  </conditionalFormatting>
  <conditionalFormatting sqref="E13:BF13 E15:BF15 E17:BF17 E19:BF19 E21:BF21 E23:BF23 E25:BF25 E27:BF27 E29:BF29 E31:BF31 E33:BF33 E35:BF35 E37:BF37 E39:BF39 E41:BF41 E43:BF43 E45:BF45">
    <cfRule type="cellIs" dxfId="3" priority="1" operator="lessThan">
      <formula>E12</formula>
    </cfRule>
    <cfRule type="cellIs" dxfId="2" priority="2" operator="greaterThan">
      <formula>E12</formula>
    </cfRule>
  </conditionalFormatting>
  <conditionalFormatting sqref="E49:BF49">
    <cfRule type="containsErrors" dxfId="1" priority="10">
      <formula>ISERROR(E49)</formula>
    </cfRule>
  </conditionalFormatting>
  <conditionalFormatting sqref="F47:BF47">
    <cfRule type="containsErrors" dxfId="0" priority="9">
      <formula>ISERROR(F47)</formula>
    </cfRule>
  </conditionalFormatting>
  <pageMargins left="0.7" right="0.7" top="0.75" bottom="0.75" header="0.3" footer="0.3"/>
  <pageSetup paperSize="9" orientation="portrait" horizontalDpi="4294967293" verticalDpi="0" r:id="rId1"/>
  <ignoredErrors>
    <ignoredError sqref="E48:BF48"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289FA-749A-48F5-9D0C-C11FF841FCB7}">
  <dimension ref="A1"/>
  <sheetViews>
    <sheetView showGridLines="0" workbookViewId="0">
      <selection activeCell="O11" sqref="O11"/>
    </sheetView>
  </sheetViews>
  <sheetFormatPr defaultRowHeight="14.4" x14ac:dyDescent="0.3"/>
  <sheetData/>
  <pageMargins left="0.7" right="0.7" top="0.75" bottom="0.75" header="0.3" footer="0.3"/>
  <pageSetup paperSize="9"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30"/>
      <c r="B1" s="31" t="s">
        <v>18</v>
      </c>
      <c r="C1" s="30"/>
    </row>
    <row r="2" spans="1:3" ht="15" x14ac:dyDescent="0.3">
      <c r="A2" s="32"/>
      <c r="B2" s="32"/>
      <c r="C2" s="33"/>
    </row>
    <row r="3" spans="1:3" ht="19.2" customHeight="1" x14ac:dyDescent="0.3">
      <c r="A3" s="32"/>
      <c r="B3" s="32" t="s">
        <v>27</v>
      </c>
      <c r="C3" s="33"/>
    </row>
    <row r="4" spans="1:3" ht="15" x14ac:dyDescent="0.3">
      <c r="A4" s="32"/>
      <c r="B4" s="32"/>
      <c r="C4" s="33"/>
    </row>
    <row r="5" spans="1:3" ht="45" x14ac:dyDescent="0.3">
      <c r="A5" s="32"/>
      <c r="B5" s="34" t="s">
        <v>13</v>
      </c>
      <c r="C5" s="33"/>
    </row>
    <row r="6" spans="1:3" ht="15" x14ac:dyDescent="0.3">
      <c r="A6" s="32"/>
      <c r="B6" s="32"/>
      <c r="C6" s="33"/>
    </row>
    <row r="7" spans="1:3" ht="30" x14ac:dyDescent="0.3">
      <c r="A7" s="32"/>
      <c r="B7" s="34" t="s">
        <v>14</v>
      </c>
      <c r="C7" s="33"/>
    </row>
    <row r="8" spans="1:3" ht="15" x14ac:dyDescent="0.3">
      <c r="A8" s="32"/>
      <c r="B8" s="32"/>
      <c r="C8" s="33"/>
    </row>
    <row r="9" spans="1:3" ht="45.6" x14ac:dyDescent="0.3">
      <c r="A9" s="32"/>
      <c r="B9" s="34" t="s">
        <v>15</v>
      </c>
      <c r="C9" s="33"/>
    </row>
    <row r="10" spans="1:3" ht="15" x14ac:dyDescent="0.3">
      <c r="A10" s="32"/>
      <c r="B10" s="32"/>
      <c r="C10" s="33"/>
    </row>
    <row r="11" spans="1:3" ht="15" x14ac:dyDescent="0.3">
      <c r="A11" s="32"/>
      <c r="B11" s="32" t="s">
        <v>20</v>
      </c>
      <c r="C11" s="33"/>
    </row>
    <row r="12" spans="1:3" ht="15" x14ac:dyDescent="0.3">
      <c r="A12" s="32"/>
      <c r="B12" s="32"/>
      <c r="C12" s="33"/>
    </row>
    <row r="13" spans="1:3" ht="24" customHeight="1" thickBot="1" x14ac:dyDescent="0.35">
      <c r="A13" s="32"/>
      <c r="B13" s="35" t="s">
        <v>16</v>
      </c>
      <c r="C13" s="33"/>
    </row>
    <row r="14" spans="1:3" ht="15" x14ac:dyDescent="0.3">
      <c r="A14" s="32"/>
      <c r="B14" s="32"/>
      <c r="C14" s="33"/>
    </row>
    <row r="15" spans="1:3" ht="90" x14ac:dyDescent="0.3">
      <c r="A15" s="32"/>
      <c r="B15" s="34" t="s">
        <v>17</v>
      </c>
      <c r="C15" s="33"/>
    </row>
    <row r="16" spans="1:3" ht="15" x14ac:dyDescent="0.3">
      <c r="A16" s="32"/>
      <c r="B16" s="32"/>
      <c r="C16" s="33"/>
    </row>
    <row r="17" spans="1:3" ht="15" x14ac:dyDescent="0.3">
      <c r="A17" s="32"/>
      <c r="B17" s="32"/>
      <c r="C17" s="33"/>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Budget vs Actual Monthly - List</vt:lpstr>
      <vt:lpstr>Budget vs Actual Monthly -Chart</vt:lpstr>
      <vt:lpstr>Budget vs Actual Weekly - List</vt:lpstr>
      <vt:lpstr>Budget vs Actual Weekly - Chart</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2024-03-13T02:05:48Z</dcterms:created>
  <dcterms:modified xsi:type="dcterms:W3CDTF">2024-03-13T02:21:38Z</dcterms:modified>
</cp:coreProperties>
</file>