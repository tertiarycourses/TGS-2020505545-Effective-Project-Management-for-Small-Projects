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M" sheetId="1" state="visible" r:id="rId1"/>
    <sheet xmlns:r="http://schemas.openxmlformats.org/officeDocument/2006/relationships" name="Status Report" sheetId="2" state="visible" r:id="rId2"/>
    <sheet xmlns:r="http://schemas.openxmlformats.org/officeDocument/2006/relationships" name="Issue Log" sheetId="3" state="visible" r:id="rId3"/>
    <sheet xmlns:r="http://schemas.openxmlformats.org/officeDocument/2006/relationships" name="Change Log" sheetId="4" state="visible" r:id="rId4"/>
    <sheet xmlns:r="http://schemas.openxmlformats.org/officeDocument/2006/relationships" name="Decision Log" sheetId="5" state="visible" r:id="rId5"/>
  </sheets>
  <definedNames>
    <definedName name="_xlnm._FilterDatabase" localSheetId="0" hidden="1">'EVM'!$A$3:$D$3</definedName>
    <definedName name="_xlnm._FilterDatabase" localSheetId="1" hidden="1">'Status Report'!$A$3:$G$3</definedName>
    <definedName name="_xlnm._FilterDatabase" localSheetId="2" hidden="1">'Issue Log'!$A$3:$J$3</definedName>
    <definedName name="_xlnm._FilterDatabase" localSheetId="3" hidden="1">'Change Log'!$A$3:$L$3</definedName>
    <definedName name="_xlnm._FilterDatabase" localSheetId="4" hidden="1">'Decision Log'!$A$3:$H$3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F6B7A"/>
      <sz val="9"/>
    </font>
    <font>
      <name val="Arial"/>
      <b val="1"/>
      <color rgb="00FFFFFF"/>
    </font>
    <font>
      <name val="Arial"/>
      <color rgb="000000FF"/>
      <sz val="10"/>
    </font>
    <font>
      <name val="Arial"/>
      <color rgb="00131B2A"/>
      <sz val="10"/>
    </font>
  </fonts>
  <fills count="5">
    <fill>
      <patternFill/>
    </fill>
    <fill>
      <patternFill patternType="gray125"/>
    </fill>
    <fill>
      <patternFill patternType="solid">
        <fgColor rgb="001655D1"/>
      </patternFill>
    </fill>
    <fill>
      <patternFill patternType="solid">
        <fgColor rgb="000F9D8A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bottom style="thin">
        <color rgb="00DAE2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2" fontId="5" fillId="4" borderId="1" applyAlignment="1" pivotButton="0" quotePrefix="0" xfId="0">
      <alignment vertical="top" wrapText="1"/>
    </xf>
    <xf numFmtId="2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Earned Value and Forecast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Measure</t>
        </is>
      </c>
      <c r="B3" s="3" t="inlineStr">
        <is>
          <t>Value</t>
        </is>
      </c>
      <c r="C3" s="3" t="inlineStr">
        <is>
          <t>Formula / meaning</t>
        </is>
      </c>
      <c r="D3" s="3" t="inlineStr">
        <is>
          <t>Interpretation</t>
        </is>
      </c>
    </row>
    <row r="4">
      <c r="A4" s="4" t="inlineStr">
        <is>
          <t>BAC</t>
        </is>
      </c>
      <c r="B4" s="5" t="n">
        <v>162000</v>
      </c>
      <c r="C4" s="4" t="inlineStr">
        <is>
          <t>Authorised measured budget</t>
        </is>
      </c>
      <c r="D4" s="4" t="inlineStr">
        <is>
          <t>Input</t>
        </is>
      </c>
    </row>
    <row r="5">
      <c r="A5" s="6" t="inlineStr">
        <is>
          <t>PV</t>
        </is>
      </c>
      <c r="B5" s="7" t="n">
        <v>108000</v>
      </c>
      <c r="C5" s="6" t="inlineStr">
        <is>
          <t>Planned value at status date</t>
        </is>
      </c>
      <c r="D5" s="6" t="inlineStr">
        <is>
          <t>Input</t>
        </is>
      </c>
    </row>
    <row r="6">
      <c r="A6" s="4" t="inlineStr">
        <is>
          <t>EV</t>
        </is>
      </c>
      <c r="B6" s="5" t="n">
        <v>90000</v>
      </c>
      <c r="C6" s="4" t="inlineStr">
        <is>
          <t>Earned value at status date</t>
        </is>
      </c>
      <c r="D6" s="4" t="inlineStr">
        <is>
          <t>Input</t>
        </is>
      </c>
    </row>
    <row r="7">
      <c r="A7" s="6" t="inlineStr">
        <is>
          <t>AC</t>
        </is>
      </c>
      <c r="B7" s="7" t="n">
        <v>105000</v>
      </c>
      <c r="C7" s="6" t="inlineStr">
        <is>
          <t>Actual cost at status date</t>
        </is>
      </c>
      <c r="D7" s="6" t="inlineStr">
        <is>
          <t>Input</t>
        </is>
      </c>
    </row>
    <row r="8">
      <c r="A8" s="4" t="inlineStr">
        <is>
          <t>SV</t>
        </is>
      </c>
      <c r="B8" s="8">
        <f>B6-B5</f>
        <v/>
      </c>
      <c r="C8" s="4" t="inlineStr">
        <is>
          <t>EV-PV</t>
        </is>
      </c>
      <c r="D8" s="4" t="inlineStr">
        <is>
          <t>Negative adverse</t>
        </is>
      </c>
    </row>
    <row r="9">
      <c r="A9" s="6" t="inlineStr">
        <is>
          <t>CV</t>
        </is>
      </c>
      <c r="B9" s="9">
        <f>B6-B7</f>
        <v/>
      </c>
      <c r="C9" s="6" t="inlineStr">
        <is>
          <t>EV-AC</t>
        </is>
      </c>
      <c r="D9" s="6" t="inlineStr">
        <is>
          <t>Negative adverse</t>
        </is>
      </c>
    </row>
    <row r="10">
      <c r="A10" s="4" t="inlineStr">
        <is>
          <t>SPI</t>
        </is>
      </c>
      <c r="B10" s="10">
        <f>IFERROR(B6/B5,0)</f>
        <v/>
      </c>
      <c r="C10" s="4" t="inlineStr">
        <is>
          <t>EV/PV</t>
        </is>
      </c>
      <c r="D10" s="4" t="inlineStr">
        <is>
          <t>Below 1 adverse</t>
        </is>
      </c>
    </row>
    <row r="11">
      <c r="A11" s="6" t="inlineStr">
        <is>
          <t>CPI</t>
        </is>
      </c>
      <c r="B11" s="11">
        <f>IFERROR(B6/B7,0)</f>
        <v/>
      </c>
      <c r="C11" s="6" t="inlineStr">
        <is>
          <t>EV/AC</t>
        </is>
      </c>
      <c r="D11" s="6" t="inlineStr">
        <is>
          <t>Below 1 adverse</t>
        </is>
      </c>
    </row>
    <row r="12">
      <c r="A12" s="4" t="inlineStr">
        <is>
          <t>EAC</t>
        </is>
      </c>
      <c r="B12" s="8">
        <f>IFERROR(B4/B11,0)</f>
        <v/>
      </c>
      <c r="C12" s="4" t="inlineStr">
        <is>
          <t>BAC/CPI</t>
        </is>
      </c>
      <c r="D12" s="4" t="inlineStr">
        <is>
          <t>Current efficiency continues</t>
        </is>
      </c>
    </row>
    <row r="13">
      <c r="A13" s="6" t="inlineStr">
        <is>
          <t>ETC</t>
        </is>
      </c>
      <c r="B13" s="9">
        <f>B12-B7</f>
        <v/>
      </c>
      <c r="C13" s="6" t="inlineStr">
        <is>
          <t>EAC-AC</t>
        </is>
      </c>
      <c r="D13" s="6" t="inlineStr">
        <is>
          <t>Remaining forecast</t>
        </is>
      </c>
    </row>
  </sheetData>
  <autoFilter ref="A3:D3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8" customHeight="1">
      <c r="A1" s="1" t="inlineStr">
        <is>
          <t>Integrated Status Report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Area</t>
        </is>
      </c>
      <c r="B3" s="3" t="inlineStr">
        <is>
          <t>Threshold</t>
        </is>
      </c>
      <c r="C3" s="3" t="inlineStr">
        <is>
          <t>Current evidence</t>
        </is>
      </c>
      <c r="D3" s="3" t="inlineStr">
        <is>
          <t>Forecast</t>
        </is>
      </c>
      <c r="E3" s="3" t="inlineStr">
        <is>
          <t>Cause</t>
        </is>
      </c>
      <c r="F3" s="3" t="inlineStr">
        <is>
          <t>Action / owner</t>
        </is>
      </c>
      <c r="G3" s="3" t="inlineStr">
        <is>
          <t>Decision needed</t>
        </is>
      </c>
    </row>
    <row r="4">
      <c r="A4" s="4" t="inlineStr">
        <is>
          <t>Schedule</t>
        </is>
      </c>
      <c r="B4" s="4" t="inlineStr">
        <is>
          <t>SPI below 0.95</t>
        </is>
      </c>
      <c r="C4" s="4" t="inlineStr">
        <is>
          <t>SPI from EVM</t>
        </is>
      </c>
      <c r="D4" s="4" t="inlineStr"/>
      <c r="E4" s="4" t="inlineStr"/>
      <c r="F4" s="4" t="inlineStr"/>
      <c r="G4" s="4" t="inlineStr"/>
    </row>
    <row r="5">
      <c r="A5" s="6" t="inlineStr">
        <is>
          <t>Cost</t>
        </is>
      </c>
      <c r="B5" s="6" t="inlineStr">
        <is>
          <t>CPI below 0.95</t>
        </is>
      </c>
      <c r="C5" s="6" t="inlineStr">
        <is>
          <t>CPI from EVM</t>
        </is>
      </c>
      <c r="D5" s="6" t="inlineStr"/>
      <c r="E5" s="6" t="inlineStr"/>
      <c r="F5" s="6" t="inlineStr"/>
      <c r="G5" s="6" t="inlineStr"/>
    </row>
    <row r="6">
      <c r="A6" s="4" t="inlineStr">
        <is>
          <t>Quality</t>
        </is>
      </c>
      <c r="B6" s="4" t="inlineStr">
        <is>
          <t>Below 98% pick accuracy</t>
        </is>
      </c>
      <c r="C6" s="4" t="inlineStr">
        <is>
          <t>Control chart</t>
        </is>
      </c>
      <c r="D6" s="4" t="inlineStr"/>
      <c r="E6" s="4" t="inlineStr"/>
      <c r="F6" s="4" t="inlineStr"/>
      <c r="G6" s="4" t="inlineStr"/>
    </row>
    <row r="7">
      <c r="A7" s="6" t="inlineStr">
        <is>
          <t>Risk</t>
        </is>
      </c>
      <c r="B7" s="6" t="inlineStr">
        <is>
          <t>Exposure above tolerance</t>
        </is>
      </c>
      <c r="C7" s="6" t="inlineStr">
        <is>
          <t>Risk register</t>
        </is>
      </c>
      <c r="D7" s="6" t="inlineStr"/>
      <c r="E7" s="6" t="inlineStr"/>
      <c r="F7" s="6" t="inlineStr"/>
      <c r="G7" s="6" t="inlineStr"/>
    </row>
  </sheetData>
  <autoFilter ref="A3:G3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8" customHeight="1">
      <c r="A1" s="1" t="inlineStr">
        <is>
          <t>Issue Log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ID</t>
        </is>
      </c>
      <c r="B3" s="3" t="inlineStr">
        <is>
          <t>Issue</t>
        </is>
      </c>
      <c r="C3" s="3" t="inlineStr">
        <is>
          <t>Detected</t>
        </is>
      </c>
      <c r="D3" s="3" t="inlineStr">
        <is>
          <t>Impact</t>
        </is>
      </c>
      <c r="E3" s="3" t="inlineStr">
        <is>
          <t>Containment</t>
        </is>
      </c>
      <c r="F3" s="3" t="inlineStr">
        <is>
          <t>Root cause</t>
        </is>
      </c>
      <c r="G3" s="3" t="inlineStr">
        <is>
          <t>Resolution owner</t>
        </is>
      </c>
      <c r="H3" s="3" t="inlineStr">
        <is>
          <t>Due</t>
        </is>
      </c>
      <c r="I3" s="3" t="inlineStr">
        <is>
          <t>Status</t>
        </is>
      </c>
      <c r="J3" s="3" t="inlineStr">
        <is>
          <t>Closure evidence</t>
        </is>
      </c>
    </row>
    <row r="4">
      <c r="A4" s="4" t="inlineStr">
        <is>
          <t>ISS-01</t>
        </is>
      </c>
      <c r="B4" s="4" t="inlineStr">
        <is>
          <t>Interface acceptance ownership unclear</t>
        </is>
      </c>
      <c r="C4" s="4" t="inlineStr"/>
      <c r="D4" s="4" t="inlineStr">
        <is>
          <t>Testing delay</t>
        </is>
      </c>
      <c r="E4" s="4" t="inlineStr">
        <is>
          <t>Joint review</t>
        </is>
      </c>
      <c r="F4" s="4" t="inlineStr">
        <is>
          <t>Decision-right gap</t>
        </is>
      </c>
      <c r="G4" s="4" t="inlineStr">
        <is>
          <t>Project Manager</t>
        </is>
      </c>
      <c r="H4" s="4" t="inlineStr"/>
      <c r="I4" s="4" t="inlineStr">
        <is>
          <t>Open</t>
        </is>
      </c>
      <c r="J4" s="4" t="inlineStr"/>
    </row>
  </sheetData>
  <autoFilter ref="A3:J3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 ht="28" customHeight="1">
      <c r="A1" s="1" t="inlineStr">
        <is>
          <t>Change Request and Impact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CR ID</t>
        </is>
      </c>
      <c r="B3" s="3" t="inlineStr">
        <is>
          <t>Request</t>
        </is>
      </c>
      <c r="C3" s="3" t="inlineStr">
        <is>
          <t>Reason</t>
        </is>
      </c>
      <c r="D3" s="3" t="inlineStr">
        <is>
          <t>Scope impact</t>
        </is>
      </c>
      <c r="E3" s="3" t="inlineStr">
        <is>
          <t>Schedule days</t>
        </is>
      </c>
      <c r="F3" s="3" t="inlineStr">
        <is>
          <t>Cost SGD</t>
        </is>
      </c>
      <c r="G3" s="3" t="inlineStr">
        <is>
          <t>Quality impact</t>
        </is>
      </c>
      <c r="H3" s="3" t="inlineStr">
        <is>
          <t>Resource impact</t>
        </is>
      </c>
      <c r="I3" s="3" t="inlineStr">
        <is>
          <t>Risk impact</t>
        </is>
      </c>
      <c r="J3" s="3" t="inlineStr">
        <is>
          <t>Recommendation</t>
        </is>
      </c>
      <c r="K3" s="3" t="inlineStr">
        <is>
          <t>Approver</t>
        </is>
      </c>
      <c r="L3" s="3" t="inlineStr">
        <is>
          <t>Decision</t>
        </is>
      </c>
    </row>
    <row r="4">
      <c r="A4" s="4" t="inlineStr">
        <is>
          <t>CR-01</t>
        </is>
      </c>
      <c r="B4" s="4" t="inlineStr">
        <is>
          <t>Add loyalty points</t>
        </is>
      </c>
      <c r="C4" s="4" t="inlineStr">
        <is>
          <t>Sponsor request</t>
        </is>
      </c>
      <c r="D4" s="4" t="inlineStr">
        <is>
          <t>New deliverable</t>
        </is>
      </c>
      <c r="E4" s="4" t="n">
        <v>15</v>
      </c>
      <c r="F4" s="4" t="n">
        <v>24000</v>
      </c>
      <c r="G4" s="4" t="inlineStr">
        <is>
          <t>More testing</t>
        </is>
      </c>
      <c r="H4" s="4" t="inlineStr">
        <is>
          <t>Vendor and BA</t>
        </is>
      </c>
      <c r="I4" s="4" t="inlineStr">
        <is>
          <t>Interface and adoption</t>
        </is>
      </c>
      <c r="J4" s="4" t="inlineStr">
        <is>
          <t>Defer</t>
        </is>
      </c>
      <c r="K4" s="4" t="inlineStr">
        <is>
          <t>Sponsor</t>
        </is>
      </c>
      <c r="L4" s="4" t="inlineStr">
        <is>
          <t>Pending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1" t="inlineStr">
        <is>
          <t>Decision Log</t>
        </is>
      </c>
    </row>
    <row r="2">
      <c r="A2" s="2" t="inlineStr">
        <is>
          <t>Source: supplied v17, PMP v16, Agile v9 and Project Management Templates Guide; adapted to HarbourHub Fresh v19.</t>
        </is>
      </c>
    </row>
    <row r="3">
      <c r="A3" s="3" t="inlineStr">
        <is>
          <t>ID</t>
        </is>
      </c>
      <c r="B3" s="3" t="inlineStr">
        <is>
          <t>Decision</t>
        </is>
      </c>
      <c r="C3" s="3" t="inlineStr">
        <is>
          <t>Options</t>
        </is>
      </c>
      <c r="D3" s="3" t="inlineStr">
        <is>
          <t>Rationale</t>
        </is>
      </c>
      <c r="E3" s="3" t="inlineStr">
        <is>
          <t>Owner</t>
        </is>
      </c>
      <c r="F3" s="3" t="inlineStr">
        <is>
          <t>Date</t>
        </is>
      </c>
      <c r="G3" s="3" t="inlineStr">
        <is>
          <t>Records to update</t>
        </is>
      </c>
      <c r="H3" s="3" t="inlineStr">
        <is>
          <t>Communicated to</t>
        </is>
      </c>
    </row>
    <row r="4">
      <c r="A4" s="4" t="inlineStr">
        <is>
          <t>DEC-01</t>
        </is>
      </c>
      <c r="B4" s="4" t="inlineStr"/>
      <c r="C4" s="4" t="inlineStr">
        <is>
          <t>Approve / reject / defer / trade</t>
        </is>
      </c>
      <c r="D4" s="4" t="inlineStr"/>
      <c r="E4" s="4" t="inlineStr">
        <is>
          <t>Sponsor</t>
        </is>
      </c>
      <c r="F4" s="4" t="inlineStr"/>
      <c r="G4" s="4" t="inlineStr">
        <is>
          <t>RTM; WBS; schedule; budget; risk</t>
        </is>
      </c>
      <c r="H4" s="4" t="inlineStr">
        <is>
          <t>Team and vendors</t>
        </is>
      </c>
    </row>
  </sheetData>
  <autoFilter ref="A3:H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2026-08-19T14:20:11Z</dcterms:created>
  <dcterms:modified xmlns:dcterms="http://purl.org/dc/terms/" xmlns:xsi="http://www.w3.org/2001/XMLSchema-instance" xsi:type="dcterms:W3CDTF">2026-08-19T14:20:11Z</dcterms:modified>
</cp:coreProperties>
</file>