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dget vs Actual Monthly - List" sheetId="1" state="visible" r:id="rId3"/>
    <sheet name="Budget vs Actual Monthly -Chart" sheetId="2" state="visible" r:id="rId4"/>
    <sheet name="Budget vs Actual Weekly - List" sheetId="3" state="visible" r:id="rId5"/>
    <sheet name="Budget vs Actual Weekly - Chart" sheetId="4" state="visible" r:id="rId6"/>
    <sheet name="©" sheetId="5" state="visible" r:id="rId7"/>
  </sheets>
  <definedNames>
    <definedName function="false" hidden="true" localSheetId="0" name="_xlnm._FilterDatabase" vbProcedure="false">'Budget vs Actual Monthly - List'!$B$5:$D$49</definedName>
    <definedName function="false" hidden="true" localSheetId="2" name="_xlnm._FilterDatabase" vbProcedure="false">'Budget vs Actual Weekly - List'!$B$5:$D$49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<sst xmlns="http://schemas.openxmlformats.org/spreadsheetml/2006/main" count="168" uniqueCount="28">
  <si>
    <t xml:space="preserve">Project Budget - Monthly</t>
  </si>
  <si>
    <t xml:space="preserve">Start Date:</t>
  </si>
  <si>
    <t xml:space="preserve">versus Actual Cost</t>
  </si>
  <si>
    <t xml:space="preserve">Budget Name:</t>
  </si>
  <si>
    <t xml:space="preserve">◄ Insert more columns to have more dates. You can also overwrite the dates and change them to weeks or days as you prefer.</t>
  </si>
  <si>
    <t xml:space="preserve"> #</t>
  </si>
  <si>
    <t xml:space="preserve">Expenses</t>
  </si>
  <si>
    <t xml:space="preserve">Type</t>
  </si>
  <si>
    <t xml:space="preserve">Total</t>
  </si>
  <si>
    <t xml:space="preserve">◄ Drag and copy across an existing column to ensure the formulas and formatting stay the same.</t>
  </si>
  <si>
    <t xml:space="preserve">[ expense name] </t>
  </si>
  <si>
    <t xml:space="preserve">Budgeted</t>
  </si>
  <si>
    <t xml:space="preserve">Actual</t>
  </si>
  <si>
    <t xml:space="preserve">◄ Insert more expenses by inserting more rows (two at a time)</t>
  </si>
  <si>
    <t xml:space="preserve">◄ Drag and copy two rows from above to copy the formulas and formatting to your new rows</t>
  </si>
  <si>
    <t xml:space="preserve">Total Budget</t>
  </si>
  <si>
    <t xml:space="preserve">Cumulative Budget</t>
  </si>
  <si>
    <t xml:space="preserve">Total Actual Cost</t>
  </si>
  <si>
    <t xml:space="preserve">Cumulative Cost</t>
  </si>
  <si>
    <t xml:space="preserve">Project Budget - Weekly</t>
  </si>
  <si>
    <t xml:space="preserve">Budget vs Actual Template</t>
  </si>
  <si>
    <t xml:space="preserve">©  2024  David McLachlan</t>
  </si>
  <si>
    <t xml:space="preserve">This spreadsheet, including all worksheets and associated content is a copyrighted work under the United States and other copyright laws.</t>
  </si>
  <si>
    <t xml:space="preserve">Do not submit copies or modifications of this template to any website or online template gallery.</t>
  </si>
  <si>
    <r>
      <rPr>
        <sz val="12"/>
        <color theme="1"/>
        <rFont val="Arial"/>
        <family val="2"/>
        <charset val="1"/>
      </rPr>
      <t xml:space="preserve">You may make archival copies and customize the template only for your personal use or use within your company or organization and </t>
    </r>
    <r>
      <rPr>
        <b val="true"/>
        <sz val="12"/>
        <color theme="1"/>
        <rFont val="Arial"/>
        <family val="2"/>
        <charset val="1"/>
      </rPr>
      <t xml:space="preserve">not for resale or public sharing</t>
    </r>
    <r>
      <rPr>
        <sz val="12"/>
        <color theme="1"/>
        <rFont val="Arial"/>
        <family val="2"/>
        <charset val="1"/>
      </rPr>
      <t xml:space="preserve">.</t>
    </r>
  </si>
  <si>
    <t xml:space="preserve">Do not delete this worksheet.</t>
  </si>
  <si>
    <t xml:space="preserve">Limitation of Liability</t>
  </si>
  <si>
    <t xml:space="preserve">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</si>
</sst>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numFmts count="5">
    <numFmt numFmtId="164" formatCode="General"/>
    <numFmt numFmtId="165" formatCode="mmm\ d&quot;, &quot;yy"/>
    <numFmt numFmtId="166" formatCode="mm/yy"/>
    <numFmt numFmtId="167" formatCode="\$#,##0.00"/>
    <numFmt numFmtId="168" formatCode="d\ mmm\ yy"/>
  </numFmts>
  <fonts count="23">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sz val="11"/>
      <color theme="0"/>
      <name val="Arial"/>
      <family val="2"/>
      <charset val="1"/>
    </font>
    <font>
      <i val="true"/>
      <sz val="20"/>
      <color theme="3"/>
      <name val="Arial"/>
      <family val="2"/>
      <charset val="1"/>
    </font>
    <font>
      <i val="true"/>
      <sz val="20"/>
      <color theme="0"/>
      <name val="Arial"/>
      <family val="2"/>
      <charset val="1"/>
    </font>
    <font>
      <i val="true"/>
      <sz val="22"/>
      <color theme="0"/>
      <name val="Arial"/>
      <family val="2"/>
      <charset val="1"/>
    </font>
    <font>
      <b val="true"/>
      <sz val="11"/>
      <color theme="0"/>
      <name val="Arial"/>
      <family val="2"/>
      <charset val="1"/>
    </font>
    <font>
      <i val="true"/>
      <sz val="11"/>
      <color theme="1"/>
      <name val="Arial"/>
      <family val="2"/>
      <charset val="1"/>
    </font>
    <font>
      <sz val="12"/>
      <color theme="0"/>
      <name val="Arial"/>
      <family val="2"/>
      <charset val="1"/>
    </font>
    <font>
      <sz val="11"/>
      <color theme="1" tint="0.2499"/>
      <name val="Arial"/>
      <family val="2"/>
      <charset val="1"/>
    </font>
    <font>
      <b val="true"/>
      <sz val="12"/>
      <color rgb="FFFFFFFF"/>
      <name val="Arial"/>
      <family val="2"/>
      <charset val="1"/>
    </font>
    <font>
      <sz val="11"/>
      <name val="Arial"/>
      <family val="2"/>
      <charset val="1"/>
    </font>
    <font>
      <b val="true"/>
      <sz val="11"/>
      <name val="Arial"/>
      <family val="2"/>
      <charset val="1"/>
    </font>
    <font>
      <b val="true"/>
      <sz val="11"/>
      <color theme="1" tint="0.2499"/>
      <name val="Arial"/>
      <family val="2"/>
      <charset val="1"/>
    </font>
    <font>
      <sz val="14"/>
      <color rgb="FF595959"/>
      <name val="Calibri"/>
      <family val="2"/>
    </font>
    <font>
      <sz val="9"/>
      <color rgb="FF595959"/>
      <name val="Calibri"/>
      <family val="2"/>
    </font>
    <font>
      <b val="true"/>
      <sz val="16"/>
      <color theme="0"/>
      <name val="Arial"/>
      <family val="2"/>
      <charset val="1"/>
    </font>
    <font>
      <sz val="12"/>
      <color theme="1"/>
      <name val="Arial"/>
      <family val="2"/>
      <charset val="1"/>
    </font>
    <font>
      <b val="true"/>
      <sz val="12"/>
      <color theme="1"/>
      <name val="Arial"/>
      <family val="2"/>
      <charset val="1"/>
    </font>
    <font>
      <i val="true"/>
      <sz val="14"/>
      <color theme="1"/>
      <name val="Arial"/>
      <family val="2"/>
      <charset val="1"/>
    </font>
  </fonts>
  <fills count="8">
    <fill>
      <patternFill patternType="none"/>
    </fill>
    <fill>
      <patternFill patternType="gray125"/>
    </fill>
    <fill>
      <patternFill patternType="solid">
        <fgColor theme="3"/>
        <bgColor rgb="FF595959"/>
      </patternFill>
    </fill>
    <fill>
      <patternFill patternType="solid">
        <fgColor theme="0"/>
        <bgColor rgb="FFEDF0F3"/>
      </patternFill>
    </fill>
    <fill>
      <patternFill patternType="solid">
        <fgColor rgb="FF8FB9AB"/>
        <bgColor rgb="FFA6A6A6"/>
      </patternFill>
    </fill>
    <fill>
      <patternFill patternType="solid">
        <fgColor theme="7" tint="0.7999"/>
        <bgColor rgb="FFEDF0F3"/>
      </patternFill>
    </fill>
    <fill>
      <patternFill patternType="solid">
        <fgColor rgb="FFFDDBB1"/>
        <bgColor rgb="FFFFF2CC"/>
      </patternFill>
    </fill>
    <fill>
      <patternFill patternType="solid">
        <fgColor rgb="FFEDF0F3"/>
        <bgColor rgb="FFFFFFFF"/>
      </patternFill>
    </fill>
  </fills>
  <borders count="38">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style="medium"/>
      <bottom/>
      <diagonal/>
    </border>
    <border diagonalUp="false" diagonalDown="false">
      <left/>
      <right/>
      <top style="medium"/>
      <bottom style="thin">
        <color theme="0" tint="-0.35"/>
      </bottom>
      <diagonal/>
    </border>
    <border diagonalUp="false" diagonalDown="false">
      <left/>
      <right style="medium"/>
      <top style="medium"/>
      <bottom style="dotted">
        <color theme="0" tint="-0.35"/>
      </bottom>
      <diagonal/>
    </border>
    <border diagonalUp="false" diagonalDown="false">
      <left style="medium"/>
      <right style="thin">
        <color rgb="FF969696"/>
      </right>
      <top style="medium"/>
      <bottom style="dotted">
        <color theme="0" tint="-0.35"/>
      </bottom>
      <diagonal/>
    </border>
    <border diagonalUp="false" diagonalDown="false">
      <left style="thin">
        <color rgb="FF969696"/>
      </left>
      <right style="thin">
        <color rgb="FF969696"/>
      </right>
      <top style="medium"/>
      <bottom style="dotted">
        <color theme="0" tint="-0.35"/>
      </bottom>
      <diagonal/>
    </border>
    <border diagonalUp="false" diagonalDown="false">
      <left style="thin">
        <color rgb="FF969696"/>
      </left>
      <right style="medium"/>
      <top style="medium"/>
      <bottom style="dotted">
        <color theme="0" tint="-0.35"/>
      </bottom>
      <diagonal/>
    </border>
    <border diagonalUp="false" diagonalDown="false">
      <left/>
      <right/>
      <top/>
      <bottom style="thin">
        <color theme="0" tint="-0.35"/>
      </bottom>
      <diagonal/>
    </border>
    <border diagonalUp="false" diagonalDown="false">
      <left style="medium"/>
      <right style="thin">
        <color theme="0" tint="-0.35"/>
      </right>
      <top style="dotted">
        <color theme="0" tint="-0.35"/>
      </top>
      <bottom style="thin">
        <color theme="0" tint="-0.35"/>
      </bottom>
      <diagonal/>
    </border>
    <border diagonalUp="false" diagonalDown="false">
      <left style="thin">
        <color theme="0" tint="-0.35"/>
      </left>
      <right style="thin">
        <color theme="0" tint="-0.35"/>
      </right>
      <top style="dotted">
        <color theme="0" tint="-0.35"/>
      </top>
      <bottom style="thin">
        <color theme="0" tint="-0.35"/>
      </bottom>
      <diagonal/>
    </border>
    <border diagonalUp="false" diagonalDown="false">
      <left style="thin">
        <color theme="0" tint="-0.35"/>
      </left>
      <right style="medium"/>
      <top style="dotted">
        <color theme="0" tint="-0.35"/>
      </top>
      <bottom style="thin">
        <color theme="0" tint="-0.35"/>
      </bottom>
      <diagonal/>
    </border>
    <border diagonalUp="false" diagonalDown="false">
      <left/>
      <right style="medium"/>
      <top/>
      <bottom style="thin">
        <color theme="0" tint="-0.35"/>
      </bottom>
      <diagonal/>
    </border>
    <border diagonalUp="false" diagonalDown="false">
      <left style="medium"/>
      <right/>
      <top/>
      <bottom/>
      <diagonal/>
    </border>
    <border diagonalUp="false" diagonalDown="false">
      <left/>
      <right/>
      <top style="thin">
        <color theme="0" tint="-0.35"/>
      </top>
      <bottom style="thin">
        <color theme="0" tint="-0.35"/>
      </bottom>
      <diagonal/>
    </border>
    <border diagonalUp="false" diagonalDown="false">
      <left/>
      <right style="medium"/>
      <top style="thin">
        <color theme="0" tint="-0.35"/>
      </top>
      <bottom style="dotted">
        <color theme="0" tint="-0.35"/>
      </bottom>
      <diagonal/>
    </border>
    <border diagonalUp="false" diagonalDown="false">
      <left style="medium"/>
      <right style="thin">
        <color rgb="FF969696"/>
      </right>
      <top style="thin">
        <color theme="0" tint="-0.35"/>
      </top>
      <bottom style="dotted">
        <color theme="0" tint="-0.35"/>
      </bottom>
      <diagonal/>
    </border>
    <border diagonalUp="false" diagonalDown="false">
      <left style="thin">
        <color rgb="FF969696"/>
      </left>
      <right style="thin">
        <color rgb="FF969696"/>
      </right>
      <top style="thin">
        <color theme="0" tint="-0.35"/>
      </top>
      <bottom style="dotted">
        <color theme="0" tint="-0.35"/>
      </bottom>
      <diagonal/>
    </border>
    <border diagonalUp="false" diagonalDown="false">
      <left style="thin">
        <color rgb="FF969696"/>
      </left>
      <right style="medium"/>
      <top style="thin">
        <color theme="0" tint="-0.35"/>
      </top>
      <bottom style="dotted">
        <color theme="0" tint="-0.35"/>
      </bottom>
      <diagonal/>
    </border>
    <border diagonalUp="false" diagonalDown="false">
      <left/>
      <right/>
      <top style="thin">
        <color theme="0" tint="-0.35"/>
      </top>
      <bottom style="dotted">
        <color theme="0" tint="-0.35"/>
      </bottom>
      <diagonal/>
    </border>
    <border diagonalUp="false" diagonalDown="false">
      <left/>
      <right/>
      <top style="thin">
        <color theme="0" tint="-0.35"/>
      </top>
      <bottom style="thin">
        <color rgb="FF969696"/>
      </bottom>
      <diagonal/>
    </border>
    <border diagonalUp="false" diagonalDown="false">
      <left style="medium"/>
      <right/>
      <top/>
      <bottom style="medium"/>
      <diagonal/>
    </border>
    <border diagonalUp="false" diagonalDown="false">
      <left/>
      <right/>
      <top style="thin">
        <color rgb="FF969696"/>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color rgb="FF969696"/>
      </left>
      <right/>
      <top style="medium"/>
      <bottom style="dotted">
        <color theme="0" tint="-0.35"/>
      </bottom>
      <diagonal/>
    </border>
    <border diagonalUp="false" diagonalDown="false">
      <left style="thin">
        <color theme="0" tint="-0.35"/>
      </left>
      <right/>
      <top style="dotted">
        <color theme="0" tint="-0.35"/>
      </top>
      <bottom style="thin">
        <color theme="0" tint="-0.35"/>
      </bottom>
      <diagonal/>
    </border>
    <border diagonalUp="false" diagonalDown="false">
      <left style="thin">
        <color rgb="FF969696"/>
      </left>
      <right/>
      <top style="thin">
        <color theme="0" tint="-0.35"/>
      </top>
      <bottom style="dotted">
        <color theme="0" tint="-0.35"/>
      </bottom>
      <diagonal/>
    </border>
    <border diagonalUp="false" diagonalDown="false">
      <left/>
      <right/>
      <top/>
      <bottom style="medium">
        <color them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1"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left" vertical="center" textRotation="0" wrapText="false" indent="1"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3" fillId="4" borderId="3" xfId="0" applyFont="true" applyBorder="true" applyAlignment="true" applyProtection="false">
      <alignment horizontal="center" vertical="center" textRotation="0" wrapText="false" indent="0" shrinkToFit="false"/>
      <protection locked="true" hidden="false"/>
    </xf>
    <xf numFmtId="166" fontId="13" fillId="4" borderId="3" xfId="0" applyFont="true" applyBorder="true" applyAlignment="true" applyProtection="false">
      <alignment horizontal="center" vertical="center" textRotation="0" wrapText="false" indent="0" shrinkToFit="false"/>
      <protection locked="true" hidden="false"/>
    </xf>
    <xf numFmtId="164" fontId="13" fillId="4" borderId="4" xfId="0" applyFont="true" applyBorder="true" applyAlignment="true" applyProtection="false">
      <alignment horizontal="center"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14" fillId="0" borderId="6" xfId="0" applyFont="true" applyBorder="true" applyAlignment="true" applyProtection="true">
      <alignment horizontal="right" vertical="center" textRotation="0" wrapText="true" indent="1" shrinkToFit="false"/>
      <protection locked="false" hidden="false"/>
    </xf>
    <xf numFmtId="164" fontId="14" fillId="0" borderId="7" xfId="0" applyFont="true" applyBorder="true" applyAlignment="true" applyProtection="true">
      <alignment horizontal="right" vertical="center" textRotation="0" wrapText="false" indent="1" shrinkToFit="false"/>
      <protection locked="false" hidden="false"/>
    </xf>
    <xf numFmtId="167" fontId="14" fillId="0" borderId="8" xfId="0" applyFont="true" applyBorder="true" applyAlignment="true" applyProtection="true">
      <alignment horizontal="general" vertical="center" textRotation="0" wrapText="false" indent="0" shrinkToFit="false"/>
      <protection locked="false" hidden="false"/>
    </xf>
    <xf numFmtId="167" fontId="14" fillId="0" borderId="9" xfId="0" applyFont="true" applyBorder="true" applyAlignment="true" applyProtection="true">
      <alignment horizontal="general" vertical="center" textRotation="0" wrapText="false" indent="0" shrinkToFit="false"/>
      <protection locked="false" hidden="false"/>
    </xf>
    <xf numFmtId="167" fontId="14" fillId="0" borderId="10" xfId="0" applyFont="true" applyBorder="true" applyAlignment="true" applyProtection="true">
      <alignment horizontal="general" vertical="center" textRotation="0" wrapText="false" indent="0" shrinkToFit="false"/>
      <protection locked="false" hidden="false"/>
    </xf>
    <xf numFmtId="164" fontId="15" fillId="0" borderId="7" xfId="0" applyFont="true" applyBorder="true" applyAlignment="true" applyProtection="false">
      <alignment horizontal="general" vertical="center" textRotation="0" wrapText="false" indent="0" shrinkToFit="false"/>
      <protection locked="true" hidden="false"/>
    </xf>
    <xf numFmtId="164" fontId="14" fillId="5" borderId="11" xfId="0" applyFont="true" applyBorder="true" applyAlignment="true" applyProtection="true">
      <alignment horizontal="right" vertical="center" textRotation="0" wrapText="false" indent="1" shrinkToFit="false"/>
      <protection locked="false" hidden="false"/>
    </xf>
    <xf numFmtId="167" fontId="14" fillId="5" borderId="12" xfId="0" applyFont="true" applyBorder="true" applyAlignment="true" applyProtection="true">
      <alignment horizontal="general" vertical="center" textRotation="0" wrapText="false" indent="0" shrinkToFit="false"/>
      <protection locked="false" hidden="false"/>
    </xf>
    <xf numFmtId="167" fontId="14" fillId="5" borderId="13" xfId="0" applyFont="true" applyBorder="true" applyAlignment="true" applyProtection="true">
      <alignment horizontal="general" vertical="center" textRotation="0" wrapText="false" indent="0" shrinkToFit="false"/>
      <protection locked="false" hidden="false"/>
    </xf>
    <xf numFmtId="167" fontId="14" fillId="5" borderId="14" xfId="0" applyFont="true" applyBorder="true" applyAlignment="true" applyProtection="true">
      <alignment horizontal="general" vertical="center" textRotation="0" wrapText="false" indent="0" shrinkToFit="false"/>
      <protection locked="false" hidden="false"/>
    </xf>
    <xf numFmtId="164" fontId="15" fillId="5" borderId="15"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164" fontId="14" fillId="0" borderId="17" xfId="0" applyFont="true" applyBorder="true" applyAlignment="true" applyProtection="true">
      <alignment horizontal="right" vertical="center" textRotation="0" wrapText="true" indent="1" shrinkToFit="false"/>
      <protection locked="false" hidden="false"/>
    </xf>
    <xf numFmtId="164" fontId="14" fillId="0" borderId="18" xfId="0" applyFont="true" applyBorder="true" applyAlignment="true" applyProtection="true">
      <alignment horizontal="right" vertical="center" textRotation="0" wrapText="false" indent="1" shrinkToFit="false"/>
      <protection locked="false" hidden="false"/>
    </xf>
    <xf numFmtId="167" fontId="14" fillId="0" borderId="19" xfId="0" applyFont="true" applyBorder="true" applyAlignment="true" applyProtection="true">
      <alignment horizontal="general" vertical="center" textRotation="0" wrapText="false" indent="0" shrinkToFit="false"/>
      <protection locked="false" hidden="false"/>
    </xf>
    <xf numFmtId="167" fontId="14" fillId="0" borderId="20" xfId="0" applyFont="true" applyBorder="true" applyAlignment="true" applyProtection="true">
      <alignment horizontal="general" vertical="center" textRotation="0" wrapText="false" indent="0" shrinkToFit="false"/>
      <protection locked="false" hidden="false"/>
    </xf>
    <xf numFmtId="167" fontId="14" fillId="0" borderId="21" xfId="0" applyFont="true" applyBorder="true" applyAlignment="true" applyProtection="true">
      <alignment horizontal="general" vertical="center" textRotation="0" wrapText="false" indent="0" shrinkToFit="false"/>
      <protection locked="false" hidden="false"/>
    </xf>
    <xf numFmtId="164" fontId="15" fillId="0" borderId="18"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14" fillId="0" borderId="22" xfId="0" applyFont="true" applyBorder="true" applyAlignment="true" applyProtection="true">
      <alignment horizontal="right" vertical="center" textRotation="0" wrapText="false" indent="1" shrinkToFit="false"/>
      <protection locked="false" hidden="false"/>
    </xf>
    <xf numFmtId="164" fontId="14" fillId="5" borderId="15" xfId="0" applyFont="true" applyBorder="true" applyAlignment="true" applyProtection="true">
      <alignment horizontal="right" vertical="center" textRotation="0" wrapText="false" indent="1" shrinkToFit="false"/>
      <protection locked="false" hidden="false"/>
    </xf>
    <xf numFmtId="164" fontId="14" fillId="0" borderId="23" xfId="0" applyFont="true" applyBorder="true" applyAlignment="true" applyProtection="true">
      <alignment horizontal="right" vertical="center" textRotation="0" wrapText="true" indent="1" shrinkToFit="false"/>
      <protection locked="false" hidden="false"/>
    </xf>
    <xf numFmtId="164" fontId="4" fillId="0" borderId="24" xfId="0" applyFont="true" applyBorder="true" applyAlignment="true" applyProtection="false">
      <alignment horizontal="center" vertical="center" textRotation="0" wrapText="false" indent="0" shrinkToFit="false"/>
      <protection locked="true" hidden="false"/>
    </xf>
    <xf numFmtId="164" fontId="14" fillId="0" borderId="25" xfId="0" applyFont="true" applyBorder="true" applyAlignment="true" applyProtection="true">
      <alignment horizontal="right" vertical="center" textRotation="0" wrapText="true" indent="1" shrinkToFit="false"/>
      <protection locked="false" hidden="false"/>
    </xf>
    <xf numFmtId="164" fontId="14" fillId="5" borderId="26" xfId="0" applyFont="true" applyBorder="true" applyAlignment="true" applyProtection="true">
      <alignment horizontal="right" vertical="center" textRotation="0" wrapText="false" indent="1" shrinkToFit="false"/>
      <protection locked="false" hidden="false"/>
    </xf>
    <xf numFmtId="164" fontId="15" fillId="5" borderId="27"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16" fillId="0" borderId="28" xfId="0" applyFont="true" applyBorder="true" applyAlignment="true" applyProtection="false">
      <alignment horizontal="right" vertical="center" textRotation="0" wrapText="false" indent="0" shrinkToFit="false"/>
      <protection locked="true" hidden="false"/>
    </xf>
    <xf numFmtId="164" fontId="5" fillId="0" borderId="28" xfId="0" applyFont="true" applyBorder="true" applyAlignment="true" applyProtection="false">
      <alignment horizontal="right" vertical="center" textRotation="0" wrapText="false" indent="0" shrinkToFit="false"/>
      <protection locked="true" hidden="false"/>
    </xf>
    <xf numFmtId="164" fontId="16" fillId="0" borderId="28" xfId="0" applyFont="true" applyBorder="true" applyAlignment="true" applyProtection="false">
      <alignment horizontal="general" vertical="center" textRotation="0" wrapText="false" indent="0" shrinkToFit="false"/>
      <protection locked="true" hidden="false"/>
    </xf>
    <xf numFmtId="164" fontId="16" fillId="0" borderId="29"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30" xfId="0" applyFont="true" applyBorder="true" applyAlignment="true" applyProtection="false">
      <alignment horizontal="general" vertical="center" textRotation="0" wrapText="false" indent="0" shrinkToFit="false"/>
      <protection locked="true" hidden="false"/>
    </xf>
    <xf numFmtId="164" fontId="16" fillId="6" borderId="0" xfId="0" applyFont="true" applyBorder="false" applyAlignment="true" applyProtection="false">
      <alignment horizontal="general" vertical="center" textRotation="0" wrapText="false" indent="0" shrinkToFit="false"/>
      <protection locked="true" hidden="false"/>
    </xf>
    <xf numFmtId="164" fontId="16" fillId="6" borderId="30" xfId="0" applyFont="true" applyBorder="true" applyAlignment="true" applyProtection="false">
      <alignment horizontal="general" vertical="center" textRotation="0" wrapText="false" indent="0" shrinkToFit="false"/>
      <protection locked="true" hidden="false"/>
    </xf>
    <xf numFmtId="164" fontId="4" fillId="0" borderId="24" xfId="0" applyFont="true" applyBorder="true" applyAlignment="false" applyProtection="false">
      <alignment horizontal="general" vertical="bottom" textRotation="0" wrapText="false" indent="0" shrinkToFit="false"/>
      <protection locked="true" hidden="false"/>
    </xf>
    <xf numFmtId="164" fontId="16" fillId="0" borderId="26" xfId="0" applyFont="true" applyBorder="true" applyAlignment="true" applyProtection="false">
      <alignment horizontal="right" vertical="center" textRotation="0" wrapText="false" indent="0" shrinkToFit="false"/>
      <protection locked="true" hidden="false"/>
    </xf>
    <xf numFmtId="164" fontId="5" fillId="0" borderId="26" xfId="0" applyFont="true" applyBorder="true" applyAlignment="true" applyProtection="false">
      <alignment horizontal="right" vertical="center" textRotation="0" wrapText="false" indent="0" shrinkToFit="false"/>
      <protection locked="true" hidden="false"/>
    </xf>
    <xf numFmtId="164" fontId="16" fillId="6" borderId="26" xfId="0" applyFont="true" applyBorder="true" applyAlignment="true" applyProtection="false">
      <alignment horizontal="general" vertical="center" textRotation="0" wrapText="false" indent="0" shrinkToFit="false"/>
      <protection locked="true" hidden="false"/>
    </xf>
    <xf numFmtId="164" fontId="12" fillId="6" borderId="27" xfId="0" applyFont="true" applyBorder="true" applyAlignment="true" applyProtection="false">
      <alignment horizontal="general"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12" fillId="3" borderId="31" xfId="0" applyFont="true" applyBorder="true" applyAlignment="true" applyProtection="false">
      <alignment horizontal="general" vertical="center" textRotation="0" wrapText="false" indent="0" shrinkToFit="false"/>
      <protection locked="true" hidden="false"/>
    </xf>
    <xf numFmtId="164" fontId="12" fillId="3" borderId="32" xfId="0" applyFont="true" applyBorder="true" applyAlignment="true" applyProtection="false">
      <alignment horizontal="general" vertical="center" textRotation="0" wrapText="false" indent="0" shrinkToFit="false"/>
      <protection locked="true" hidden="false"/>
    </xf>
    <xf numFmtId="164" fontId="12" fillId="2" borderId="33"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8" fontId="13" fillId="4" borderId="3" xfId="0" applyFont="true" applyBorder="true" applyAlignment="true" applyProtection="false">
      <alignment horizontal="center" vertical="center" textRotation="0" wrapText="false" indent="0" shrinkToFit="false"/>
      <protection locked="true" hidden="false"/>
    </xf>
    <xf numFmtId="167" fontId="14" fillId="0" borderId="34" xfId="0" applyFont="true" applyBorder="true" applyAlignment="true" applyProtection="true">
      <alignment horizontal="general" vertical="center" textRotation="0" wrapText="false" indent="0" shrinkToFit="false"/>
      <protection locked="false" hidden="false"/>
    </xf>
    <xf numFmtId="167" fontId="14" fillId="5" borderId="35" xfId="0" applyFont="true" applyBorder="true" applyAlignment="true" applyProtection="true">
      <alignment horizontal="general" vertical="center" textRotation="0" wrapText="false" indent="0" shrinkToFit="false"/>
      <protection locked="false" hidden="false"/>
    </xf>
    <xf numFmtId="167" fontId="14" fillId="0" borderId="36"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true" indent="0" shrinkToFit="false"/>
      <protection locked="true" hidden="false"/>
    </xf>
    <xf numFmtId="164" fontId="22" fillId="3" borderId="37"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8FB9A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404040"/>
          <bgColor rgb="FF000000"/>
        </patternFill>
      </fill>
    </dxf>
    <dxf>
      <fill>
        <patternFill patternType="solid">
          <fgColor rgb="FFFFF2CC"/>
          <bgColor rgb="FF000000"/>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
      <font>
        <color rgb="FF548235"/>
      </font>
    </dxf>
    <dxf>
      <font>
        <color rgb="FFC00000"/>
      </font>
    </dxf>
    <dxf>
      <font>
        <color rgb="FF548235"/>
      </font>
    </dxf>
    <dxf>
      <font>
        <color rgb="FFC00000"/>
      </font>
    </dxf>
    <dxf>
      <font>
        <color rgb="FF548235"/>
      </font>
    </dxf>
    <dxf>
      <font>
        <color rgb="FFC00000"/>
      </font>
    </dxf>
    <dxf>
      <font>
        <color rgb="FF548235"/>
      </font>
    </dxf>
    <dxf>
      <font>
        <color rgb="FFC00000"/>
      </font>
    </dxf>
    <dxf>
      <font>
        <color rgb="FFFFFFFF"/>
      </font>
      <fill>
        <patternFill/>
      </fill>
    </dxf>
    <dxf>
      <font>
        <color rgb="FFFDDBB1"/>
      </font>
      <fill>
        <patternFill>
          <bgColor rgb="FFFDDBB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A6A6A6"/>
      <rgbColor rgb="FF808080"/>
      <rgbColor rgb="FF9999FF"/>
      <rgbColor rgb="FF993366"/>
      <rgbColor rgb="FFFFF2CC"/>
      <rgbColor rgb="FFEDF0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FB9AB"/>
      <rgbColor rgb="FFFF99CC"/>
      <rgbColor rgb="FFCC99FF"/>
      <rgbColor rgb="FFFDDBB1"/>
      <rgbColor rgb="FF3366FF"/>
      <rgbColor rgb="FF33CCCC"/>
      <rgbColor rgb="FF99CC00"/>
      <rgbColor rgb="FFFFCC00"/>
      <rgbColor rgb="FFFF9900"/>
      <rgbColor rgb="FFED7D31"/>
      <rgbColor rgb="FF595959"/>
      <rgbColor rgb="FF969696"/>
      <rgbColor rgb="FF003366"/>
      <rgbColor rgb="FF70AD47"/>
      <rgbColor rgb="FF003300"/>
      <rgbColor rgb="FF333300"/>
      <rgbColor rgb="FF9933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792718"/>
        <c:axId val="32762909"/>
      </c:lineChart>
      <c:dateAx>
        <c:axId val="792718"/>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2762909"/>
        <c:crosses val="autoZero"/>
        <c:auto val="1"/>
        <c:lblOffset val="100"/>
        <c:baseTimeUnit val="months"/>
      </c:dateAx>
      <c:valAx>
        <c:axId val="32762909"/>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792718"/>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List'!$E$49:$Q$49</c:f>
              <c:numCache>
                <c:formatCode>General</c:formatCode>
                <c:ptCount val="13"/>
                <c:pt idx="0">
                  <c:v>11</c:v>
                </c:pt>
                <c:pt idx="1">
                  <c:v>22</c:v>
                </c:pt>
                <c:pt idx="2">
                  <c:v>34</c:v>
                </c:pt>
                <c:pt idx="3">
                  <c:v>40</c:v>
                </c:pt>
                <c:pt idx="4">
                  <c:v>49</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Monthly - List'!$E$5:$Q$5</c:f>
              <c:multiLvlStrCache>
                <c:ptCount val="1"/>
                <c:lvl>
                  <c:pt idx="0">
                    <c:v>06/24</c:v>
                  </c:pt>
                </c:lvl>
                <c:lvl>
                  <c:pt idx="0">
                    <c:v>05/24</c:v>
                  </c:pt>
                </c:lvl>
                <c:lvl>
                  <c:pt idx="0">
                    <c:v>04/24</c:v>
                  </c:pt>
                </c:lvl>
                <c:lvl>
                  <c:pt idx="0">
                    <c:v>03/24</c:v>
                  </c:pt>
                </c:lvl>
                <c:lvl>
                  <c:pt idx="0">
                    <c:v>02/24</c:v>
                  </c:pt>
                </c:lvl>
                <c:lvl>
                  <c:pt idx="0">
                    <c:v>01/24</c:v>
                  </c:pt>
                </c:lvl>
                <c:lvl>
                  <c:pt idx="0">
                    <c:v>12/23</c:v>
                  </c:pt>
                </c:lvl>
                <c:lvl>
                  <c:pt idx="0">
                    <c:v>11/23</c:v>
                  </c:pt>
                </c:lvl>
                <c:lvl>
                  <c:pt idx="0">
                    <c:v>10/23</c:v>
                  </c:pt>
                </c:lvl>
                <c:lvl>
                  <c:pt idx="0">
                    <c:v>09/23</c:v>
                  </c:pt>
                </c:lvl>
                <c:lvl>
                  <c:pt idx="0">
                    <c:v>08/23</c:v>
                  </c:pt>
                </c:lvl>
                <c:lvl>
                  <c:pt idx="0">
                    <c:v>07/23</c:v>
                  </c:pt>
                </c:lvl>
                <c:lvl>
                  <c:pt idx="0">
                    <c:v>06/23</c:v>
                  </c:pt>
                </c:lvl>
              </c:multiLvlStrCache>
            </c:multiLvlStrRef>
          </c:cat>
          <c:val>
            <c:numRef>
              <c:f>'Budget vs Actual Monthly - List'!$E$47:$Q$47</c:f>
              <c:numCache>
                <c:formatCode>General</c:formatCode>
                <c:ptCount val="13"/>
                <c:pt idx="0">
                  <c:v>11</c:v>
                </c:pt>
                <c:pt idx="1">
                  <c:v>17</c:v>
                </c:pt>
                <c:pt idx="2">
                  <c:v>26</c:v>
                </c:pt>
                <c:pt idx="3">
                  <c:v>30</c:v>
                </c:pt>
                <c:pt idx="4">
                  <c:v>40</c:v>
                </c:pt>
              </c:numCache>
            </c:numRef>
          </c:val>
          <c:smooth val="0"/>
        </c:ser>
        <c:hiLowLines>
          <c:spPr>
            <a:ln w="0">
              <a:noFill/>
            </a:ln>
          </c:spPr>
        </c:hiLowLines>
        <c:marker val="1"/>
        <c:axId val="40591226"/>
        <c:axId val="44365504"/>
      </c:lineChart>
      <c:dateAx>
        <c:axId val="40591226"/>
        <c:scaling>
          <c:orientation val="minMax"/>
        </c:scaling>
        <c:delete val="0"/>
        <c:axPos val="b"/>
        <c:numFmt formatCode="mmm\-yy"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44365504"/>
        <c:crosses val="autoZero"/>
        <c:auto val="1"/>
        <c:lblOffset val="100"/>
        <c:baseTimeUnit val="months"/>
      </c:dateAx>
      <c:valAx>
        <c:axId val="44365504"/>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40591226"/>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3097382"/>
        <c:axId val="92502415"/>
      </c:lineChart>
      <c:dateAx>
        <c:axId val="3097382"/>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92502415"/>
        <c:crosses val="autoZero"/>
        <c:auto val="1"/>
        <c:lblOffset val="100"/>
        <c:baseTimeUnit val="days"/>
        <c:majorUnit val="7"/>
        <c:majorTimeUnit val="days"/>
        <c:minorUnit val="7"/>
        <c:minorTimeUnit val="days"/>
      </c:dateAx>
      <c:valAx>
        <c:axId val="92502415"/>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097382"/>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n-AU" sz="1400" b="0" u="none" strike="noStrike">
                <a:solidFill>
                  <a:schemeClr val="tx1">
                    <a:lumMod val="65000"/>
                    <a:lumOff val="35000"/>
                  </a:schemeClr>
                </a:solidFill>
                <a:uFillTx/>
                <a:latin typeface="Calibri"/>
              </a:rPr>
              <a:t>Project Budget versus Actual Cost - Weekly</a:t>
            </a:r>
          </a:p>
        </c:rich>
      </c:tx>
      <c:overlay val="0"/>
      <c:spPr>
        <a:noFill/>
        <a:ln w="0">
          <a:noFill/>
        </a:ln>
      </c:spPr>
    </c:title>
    <c:autoTitleDeleted val="0"/>
    <c:plotArea>
      <c:lineChart>
        <c:grouping val="standard"/>
        <c:varyColors val="0"/>
        <c:ser>
          <c:idx val="0"/>
          <c:order val="0"/>
          <c:tx>
            <c:strRef>
              <c:f>"Actual Cost"</c:f>
              <c:strCache>
                <c:ptCount val="1"/>
                <c:pt idx="0">
                  <c:v>Actual Cost</c:v>
                </c:pt>
              </c:strCache>
            </c:strRef>
          </c:tx>
          <c:spPr>
            <a:solidFill>
              <a:srgbClr val="70AD47"/>
            </a:solidFill>
            <a:ln cap="rnd" w="28440">
              <a:solidFill>
                <a:schemeClr val="accent6"/>
              </a:solidFill>
              <a:round/>
            </a:ln>
          </c:spPr>
          <c:marker>
            <c:symbol val="diamond"/>
            <c:size val="6"/>
            <c:spPr>
              <a:solidFill>
                <a:srgbClr val="70AD47"/>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List'!$E$49:$BF$49</c:f>
              <c:numCache>
                <c:formatCode>General</c:formatCode>
                <c:ptCount val="54"/>
                <c:pt idx="0">
                  <c:v>11</c:v>
                </c:pt>
                <c:pt idx="1">
                  <c:v>26</c:v>
                </c:pt>
                <c:pt idx="2">
                  <c:v>50</c:v>
                </c:pt>
                <c:pt idx="3">
                  <c:v>56</c:v>
                </c:pt>
                <c:pt idx="4">
                  <c:v>65</c:v>
                </c:pt>
              </c:numCache>
            </c:numRef>
          </c:val>
          <c:smooth val="0"/>
        </c:ser>
        <c:ser>
          <c:idx val="1"/>
          <c:order val="1"/>
          <c:tx>
            <c:strRef>
              <c:f>"Budgeted"</c:f>
              <c:strCache>
                <c:ptCount val="1"/>
                <c:pt idx="0">
                  <c:v>Budgeted</c:v>
                </c:pt>
              </c:strCache>
            </c:strRef>
          </c:tx>
          <c:spPr>
            <a:solidFill>
              <a:srgbClr val="ED7D31"/>
            </a:solidFill>
            <a:ln cap="rnd" w="28440">
              <a:solidFill>
                <a:schemeClr val="accent2"/>
              </a:solidFill>
              <a:round/>
            </a:ln>
          </c:spPr>
          <c:marker>
            <c:symbol val="diamond"/>
            <c:size val="6"/>
            <c:spPr>
              <a:solidFill>
                <a:srgbClr val="ED7D31"/>
              </a:solidFill>
            </c:spPr>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multiLvlStrRef>
              <c:f>'Budget vs Actual Weekly - List'!$E$5:$BF$5</c:f>
              <c:multiLvlStrCache>
                <c:ptCount val="1"/>
                <c:lvl>
                  <c:pt idx="0">
                    <c:v>5 Jul 24</c:v>
                  </c:pt>
                </c:lvl>
                <c:lvl>
                  <c:pt idx="0">
                    <c:v>28 Jun 24</c:v>
                  </c:pt>
                </c:lvl>
                <c:lvl>
                  <c:pt idx="0">
                    <c:v>21 Jun 24</c:v>
                  </c:pt>
                </c:lvl>
                <c:lvl>
                  <c:pt idx="0">
                    <c:v>14 Jun 24</c:v>
                  </c:pt>
                </c:lvl>
                <c:lvl>
                  <c:pt idx="0">
                    <c:v>7 Jun 24</c:v>
                  </c:pt>
                </c:lvl>
                <c:lvl>
                  <c:pt idx="0">
                    <c:v>31 May 24</c:v>
                  </c:pt>
                </c:lvl>
                <c:lvl>
                  <c:pt idx="0">
                    <c:v>24 May 24</c:v>
                  </c:pt>
                </c:lvl>
                <c:lvl>
                  <c:pt idx="0">
                    <c:v>17 May 24</c:v>
                  </c:pt>
                </c:lvl>
                <c:lvl>
                  <c:pt idx="0">
                    <c:v>10 May 24</c:v>
                  </c:pt>
                </c:lvl>
                <c:lvl>
                  <c:pt idx="0">
                    <c:v>3 May 24</c:v>
                  </c:pt>
                </c:lvl>
                <c:lvl>
                  <c:pt idx="0">
                    <c:v>26 Apr 24</c:v>
                  </c:pt>
                </c:lvl>
                <c:lvl>
                  <c:pt idx="0">
                    <c:v>19 Apr 24</c:v>
                  </c:pt>
                </c:lvl>
                <c:lvl>
                  <c:pt idx="0">
                    <c:v>12 Apr 24</c:v>
                  </c:pt>
                </c:lvl>
                <c:lvl>
                  <c:pt idx="0">
                    <c:v>5 Apr 24</c:v>
                  </c:pt>
                </c:lvl>
                <c:lvl>
                  <c:pt idx="0">
                    <c:v>29 Mar 24</c:v>
                  </c:pt>
                </c:lvl>
                <c:lvl>
                  <c:pt idx="0">
                    <c:v>22 Mar 24</c:v>
                  </c:pt>
                </c:lvl>
                <c:lvl>
                  <c:pt idx="0">
                    <c:v>15 Mar 24</c:v>
                  </c:pt>
                </c:lvl>
                <c:lvl>
                  <c:pt idx="0">
                    <c:v>8 Mar 24</c:v>
                  </c:pt>
                </c:lvl>
                <c:lvl>
                  <c:pt idx="0">
                    <c:v>1 Mar 24</c:v>
                  </c:pt>
                </c:lvl>
                <c:lvl>
                  <c:pt idx="0">
                    <c:v>23 Feb 24</c:v>
                  </c:pt>
                </c:lvl>
                <c:lvl>
                  <c:pt idx="0">
                    <c:v>16 Feb 24</c:v>
                  </c:pt>
                </c:lvl>
                <c:lvl>
                  <c:pt idx="0">
                    <c:v>9 Feb 24</c:v>
                  </c:pt>
                </c:lvl>
                <c:lvl>
                  <c:pt idx="0">
                    <c:v>2 Feb 24</c:v>
                  </c:pt>
                </c:lvl>
                <c:lvl>
                  <c:pt idx="0">
                    <c:v>26 Jan 24</c:v>
                  </c:pt>
                </c:lvl>
                <c:lvl>
                  <c:pt idx="0">
                    <c:v>19 Jan 24</c:v>
                  </c:pt>
                </c:lvl>
                <c:lvl>
                  <c:pt idx="0">
                    <c:v>12 Jan 24</c:v>
                  </c:pt>
                </c:lvl>
                <c:lvl>
                  <c:pt idx="0">
                    <c:v>5 Jan 24</c:v>
                  </c:pt>
                </c:lvl>
                <c:lvl>
                  <c:pt idx="0">
                    <c:v>29 Dec 23</c:v>
                  </c:pt>
                </c:lvl>
                <c:lvl>
                  <c:pt idx="0">
                    <c:v>22 Dec 23</c:v>
                  </c:pt>
                </c:lvl>
                <c:lvl>
                  <c:pt idx="0">
                    <c:v>15 Dec 23</c:v>
                  </c:pt>
                </c:lvl>
                <c:lvl>
                  <c:pt idx="0">
                    <c:v>8 Dec 23</c:v>
                  </c:pt>
                </c:lvl>
                <c:lvl>
                  <c:pt idx="0">
                    <c:v>1 Dec 23</c:v>
                  </c:pt>
                </c:lvl>
                <c:lvl>
                  <c:pt idx="0">
                    <c:v>24 Nov 23</c:v>
                  </c:pt>
                </c:lvl>
                <c:lvl>
                  <c:pt idx="0">
                    <c:v>17 Nov 23</c:v>
                  </c:pt>
                </c:lvl>
                <c:lvl>
                  <c:pt idx="0">
                    <c:v>10 Nov 23</c:v>
                  </c:pt>
                </c:lvl>
                <c:lvl>
                  <c:pt idx="0">
                    <c:v>3 Nov 23</c:v>
                  </c:pt>
                </c:lvl>
                <c:lvl>
                  <c:pt idx="0">
                    <c:v>27 Oct 23</c:v>
                  </c:pt>
                </c:lvl>
                <c:lvl>
                  <c:pt idx="0">
                    <c:v>20 Oct 23</c:v>
                  </c:pt>
                </c:lvl>
                <c:lvl>
                  <c:pt idx="0">
                    <c:v>13 Oct 23</c:v>
                  </c:pt>
                </c:lvl>
                <c:lvl>
                  <c:pt idx="0">
                    <c:v>6 Oct 23</c:v>
                  </c:pt>
                </c:lvl>
                <c:lvl>
                  <c:pt idx="0">
                    <c:v>29 Sep 23</c:v>
                  </c:pt>
                </c:lvl>
                <c:lvl>
                  <c:pt idx="0">
                    <c:v>22 Sep 23</c:v>
                  </c:pt>
                </c:lvl>
                <c:lvl>
                  <c:pt idx="0">
                    <c:v>15 Sep 23</c:v>
                  </c:pt>
                </c:lvl>
                <c:lvl>
                  <c:pt idx="0">
                    <c:v>8 Sep 23</c:v>
                  </c:pt>
                </c:lvl>
                <c:lvl>
                  <c:pt idx="0">
                    <c:v>1 Sep 23</c:v>
                  </c:pt>
                </c:lvl>
                <c:lvl>
                  <c:pt idx="0">
                    <c:v>25 Aug 23</c:v>
                  </c:pt>
                </c:lvl>
                <c:lvl>
                  <c:pt idx="0">
                    <c:v>18 Aug 23</c:v>
                  </c:pt>
                </c:lvl>
                <c:lvl>
                  <c:pt idx="0">
                    <c:v>11 Aug 23</c:v>
                  </c:pt>
                </c:lvl>
                <c:lvl>
                  <c:pt idx="0">
                    <c:v>4 Aug 23</c:v>
                  </c:pt>
                </c:lvl>
                <c:lvl>
                  <c:pt idx="0">
                    <c:v>28 Jul 23</c:v>
                  </c:pt>
                </c:lvl>
                <c:lvl>
                  <c:pt idx="0">
                    <c:v>21 Jul 23</c:v>
                  </c:pt>
                </c:lvl>
                <c:lvl>
                  <c:pt idx="0">
                    <c:v>14 Jul 23</c:v>
                  </c:pt>
                </c:lvl>
                <c:lvl>
                  <c:pt idx="0">
                    <c:v>7 Jul 23</c:v>
                  </c:pt>
                </c:lvl>
                <c:lvl>
                  <c:pt idx="0">
                    <c:v>30 Jun 23</c:v>
                  </c:pt>
                </c:lvl>
              </c:multiLvlStrCache>
            </c:multiLvlStrRef>
          </c:cat>
          <c:val>
            <c:numRef>
              <c:f>'Budget vs Actual Weekly - List'!$E$47:$BF$47</c:f>
              <c:numCache>
                <c:formatCode>General</c:formatCode>
                <c:ptCount val="54"/>
                <c:pt idx="0">
                  <c:v>11</c:v>
                </c:pt>
                <c:pt idx="1">
                  <c:v>19</c:v>
                </c:pt>
                <c:pt idx="2">
                  <c:v>39</c:v>
                </c:pt>
                <c:pt idx="3">
                  <c:v>43</c:v>
                </c:pt>
                <c:pt idx="4">
                  <c:v>53</c:v>
                </c:pt>
              </c:numCache>
            </c:numRef>
          </c:val>
          <c:smooth val="0"/>
        </c:ser>
        <c:hiLowLines>
          <c:spPr>
            <a:ln w="0">
              <a:noFill/>
            </a:ln>
          </c:spPr>
        </c:hiLowLines>
        <c:marker val="1"/>
        <c:axId val="2912444"/>
        <c:axId val="73796864"/>
      </c:lineChart>
      <c:dateAx>
        <c:axId val="2912444"/>
        <c:scaling>
          <c:orientation val="minMax"/>
        </c:scaling>
        <c:delete val="0"/>
        <c:axPos val="b"/>
        <c:numFmt formatCode="d\ mmm\ yy" sourceLinked="0"/>
        <c:majorTickMark val="out"/>
        <c:minorTickMark val="none"/>
        <c:tickLblPos val="nextTo"/>
        <c:spPr>
          <a:ln w="9360">
            <a:solidFill>
              <a:schemeClr val="dk1">
                <a:lumMod val="15000"/>
                <a:lumOff val="85000"/>
              </a:schemeClr>
            </a:solidFill>
            <a:round/>
          </a:ln>
        </c:spPr>
        <c:txPr>
          <a:bodyPr rot="-5400000"/>
          <a:lstStyle/>
          <a:p>
            <a:pPr>
              <a:defRPr sz="900" b="0" u="none" strike="noStrike">
                <a:solidFill>
                  <a:schemeClr val="tx1">
                    <a:lumMod val="65000"/>
                    <a:lumOff val="35000"/>
                  </a:schemeClr>
                </a:solidFill>
                <a:uFillTx/>
                <a:latin typeface="Calibri"/>
              </a:defRPr>
            </a:pPr>
          </a:p>
        </c:txPr>
        <c:crossAx val="73796864"/>
        <c:crosses val="autoZero"/>
        <c:auto val="1"/>
        <c:lblOffset val="100"/>
        <c:baseTimeUnit val="days"/>
        <c:majorUnit val="7"/>
        <c:majorTimeUnit val="days"/>
        <c:minorUnit val="7"/>
        <c:minorTimeUnit val="days"/>
      </c:dateAx>
      <c:valAx>
        <c:axId val="73796864"/>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2912444"/>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0"/>
    <c:dispBlanksAs val="zero"/>
  </c:chart>
  <c:spPr>
    <a:solidFill>
      <a:srgbClr val="FFFFFF"/>
    </a:solidFill>
    <a:ln w="28440">
      <a:solidFill>
        <a:schemeClr val="dk2"/>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236160</xdr:colOff>
      <xdr:row>50</xdr:row>
      <xdr:rowOff>99000</xdr:rowOff>
    </xdr:from>
    <xdr:to>
      <xdr:col>14</xdr:col>
      <xdr:colOff>45360</xdr:colOff>
      <xdr:row>72</xdr:row>
      <xdr:rowOff>87480</xdr:rowOff>
    </xdr:to>
    <xdr:graphicFrame>
      <xdr:nvGraphicFramePr>
        <xdr:cNvPr id="1" name="Chart 2"/>
        <xdr:cNvGraphicFramePr/>
      </xdr:nvGraphicFramePr>
      <xdr:xfrm>
        <a:off x="4010040" y="12199680"/>
        <a:ext cx="7981560" cy="384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335160</xdr:colOff>
      <xdr:row>1</xdr:row>
      <xdr:rowOff>114480</xdr:rowOff>
    </xdr:from>
    <xdr:to>
      <xdr:col>11</xdr:col>
      <xdr:colOff>235800</xdr:colOff>
      <xdr:row>24</xdr:row>
      <xdr:rowOff>106560</xdr:rowOff>
    </xdr:to>
    <xdr:graphicFrame>
      <xdr:nvGraphicFramePr>
        <xdr:cNvPr id="2" name="Chart 1"/>
        <xdr:cNvGraphicFramePr/>
      </xdr:nvGraphicFramePr>
      <xdr:xfrm>
        <a:off x="335160" y="295560"/>
        <a:ext cx="6627240" cy="415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219240</xdr:colOff>
      <xdr:row>50</xdr:row>
      <xdr:rowOff>60840</xdr:rowOff>
    </xdr:from>
    <xdr:to>
      <xdr:col>15</xdr:col>
      <xdr:colOff>37800</xdr:colOff>
      <xdr:row>72</xdr:row>
      <xdr:rowOff>51480</xdr:rowOff>
    </xdr:to>
    <xdr:graphicFrame>
      <xdr:nvGraphicFramePr>
        <xdr:cNvPr id="3" name="Chart 1"/>
        <xdr:cNvGraphicFramePr/>
      </xdr:nvGraphicFramePr>
      <xdr:xfrm>
        <a:off x="3084840" y="12161520"/>
        <a:ext cx="9807120" cy="3846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224640</xdr:colOff>
      <xdr:row>0</xdr:row>
      <xdr:rowOff>163800</xdr:rowOff>
    </xdr:from>
    <xdr:to>
      <xdr:col>13</xdr:col>
      <xdr:colOff>353880</xdr:colOff>
      <xdr:row>22</xdr:row>
      <xdr:rowOff>33120</xdr:rowOff>
    </xdr:to>
    <xdr:graphicFrame>
      <xdr:nvGraphicFramePr>
        <xdr:cNvPr id="4" name="Chart 2"/>
        <xdr:cNvGraphicFramePr/>
      </xdr:nvGraphicFramePr>
      <xdr:xfrm>
        <a:off x="224640" y="163800"/>
        <a:ext cx="8078760" cy="3850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4" ySplit="5" topLeftCell="E46" activePane="bottomRight" state="frozen"/>
      <selection pane="topLeft" activeCell="A1" activeCellId="0" sqref="A1"/>
      <selection pane="topRight" activeCell="E1" activeCellId="0" sqref="E1"/>
      <selection pane="bottomLeft" activeCell="A46" activeCellId="0" sqref="A4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17" min="5" style="1" width="12.88"/>
    <col collapsed="false" customWidth="true" hidden="false" outlineLevel="0" max="18" min="18" style="1" width="14.21"/>
    <col collapsed="false" customWidth="true" hidden="false" outlineLevel="0" max="19" min="19" style="1" width="2"/>
    <col collapsed="false" customWidth="false" hidden="false" outlineLevel="0" max="16384" min="20" style="1" width="8.88"/>
  </cols>
  <sheetData>
    <row r="1" customFormat="false" ht="9" hidden="false" customHeight="true" outlineLevel="0" collapsed="false">
      <c r="B1" s="2"/>
      <c r="C1" s="2"/>
      <c r="D1" s="3"/>
      <c r="E1" s="3"/>
      <c r="F1" s="3"/>
      <c r="G1" s="3"/>
      <c r="H1" s="3"/>
      <c r="I1" s="3"/>
      <c r="J1" s="3"/>
      <c r="K1" s="3"/>
      <c r="L1" s="3"/>
      <c r="M1" s="3"/>
      <c r="N1" s="3"/>
      <c r="O1" s="3"/>
      <c r="P1" s="3"/>
      <c r="Q1" s="3"/>
      <c r="R1" s="3"/>
      <c r="S1" s="4"/>
    </row>
    <row r="2" customFormat="false" ht="24.75" hidden="false" customHeight="true" outlineLevel="0" collapsed="false">
      <c r="B2" s="5"/>
      <c r="C2" s="5"/>
      <c r="D2" s="6"/>
      <c r="E2" s="6"/>
      <c r="F2" s="6"/>
      <c r="G2" s="6"/>
      <c r="H2" s="6"/>
      <c r="I2" s="7" t="s">
        <v>0</v>
      </c>
      <c r="J2" s="7"/>
      <c r="K2" s="7"/>
      <c r="L2" s="6"/>
      <c r="M2" s="6"/>
      <c r="N2" s="6"/>
      <c r="O2" s="6"/>
      <c r="P2" s="6"/>
      <c r="Q2" s="6"/>
      <c r="R2" s="6"/>
      <c r="S2" s="4"/>
    </row>
    <row r="3" customFormat="false" ht="18.75" hidden="false" customHeight="true" outlineLevel="0" collapsed="false">
      <c r="B3" s="2"/>
      <c r="C3" s="8" t="s">
        <v>1</v>
      </c>
      <c r="D3" s="9" t="n">
        <v>45107</v>
      </c>
      <c r="E3" s="3"/>
      <c r="F3" s="10"/>
      <c r="G3" s="3"/>
      <c r="H3" s="3"/>
      <c r="I3" s="11" t="s">
        <v>2</v>
      </c>
      <c r="J3" s="11"/>
      <c r="K3" s="11"/>
      <c r="L3" s="3"/>
      <c r="M3" s="3"/>
      <c r="N3" s="8" t="s">
        <v>3</v>
      </c>
      <c r="O3" s="12"/>
      <c r="P3" s="12"/>
      <c r="Q3" s="12"/>
      <c r="R3" s="3"/>
      <c r="S3" s="4"/>
      <c r="T3" s="13" t="s">
        <v>4</v>
      </c>
    </row>
    <row r="4" customFormat="false" ht="9" hidden="false" customHeight="true" outlineLevel="0" collapsed="false">
      <c r="B4" s="2"/>
      <c r="C4" s="2"/>
      <c r="D4" s="2"/>
      <c r="E4" s="2"/>
      <c r="F4" s="2"/>
      <c r="G4" s="2"/>
      <c r="H4" s="2"/>
      <c r="I4" s="2"/>
      <c r="J4" s="2"/>
      <c r="K4" s="2"/>
      <c r="L4" s="2"/>
      <c r="M4" s="2"/>
      <c r="N4" s="2"/>
      <c r="O4" s="2"/>
      <c r="P4" s="2"/>
      <c r="Q4" s="2"/>
      <c r="R4" s="2"/>
    </row>
    <row r="5" customFormat="false" ht="19.5" hidden="false" customHeight="true" outlineLevel="0" collapsed="false">
      <c r="B5" s="14" t="s">
        <v>5</v>
      </c>
      <c r="C5" s="15" t="s">
        <v>6</v>
      </c>
      <c r="D5" s="15" t="s">
        <v>7</v>
      </c>
      <c r="E5" s="16" t="n">
        <f aca="false">D3</f>
        <v>45107</v>
      </c>
      <c r="F5" s="16" t="n">
        <f aca="false">EDATE(E5,1)</f>
        <v>45137</v>
      </c>
      <c r="G5" s="16" t="n">
        <f aca="false">EDATE(F5,1)</f>
        <v>45168</v>
      </c>
      <c r="H5" s="16" t="n">
        <f aca="false">EDATE(G5,1)</f>
        <v>45199</v>
      </c>
      <c r="I5" s="16" t="n">
        <f aca="false">EDATE(H5,1)</f>
        <v>45229</v>
      </c>
      <c r="J5" s="16" t="n">
        <f aca="false">EDATE(I5,1)</f>
        <v>45260</v>
      </c>
      <c r="K5" s="16" t="n">
        <f aca="false">EDATE(J5,1)</f>
        <v>45290</v>
      </c>
      <c r="L5" s="16" t="n">
        <f aca="false">EDATE(K5,1)</f>
        <v>45321</v>
      </c>
      <c r="M5" s="16" t="n">
        <f aca="false">EDATE(L5,1)</f>
        <v>45351</v>
      </c>
      <c r="N5" s="16" t="n">
        <f aca="false">EDATE(M5,1)</f>
        <v>45380</v>
      </c>
      <c r="O5" s="16" t="n">
        <f aca="false">EDATE(N5,1)</f>
        <v>45411</v>
      </c>
      <c r="P5" s="16" t="n">
        <f aca="false">EDATE(O5,1)</f>
        <v>45441</v>
      </c>
      <c r="Q5" s="16" t="n">
        <f aca="false">EDATE(P5,1)</f>
        <v>45472</v>
      </c>
      <c r="R5" s="17" t="s">
        <v>8</v>
      </c>
      <c r="T5" s="13" t="s">
        <v>9</v>
      </c>
    </row>
    <row r="6" customFormat="false" ht="19.5" hidden="false" customHeight="true" outlineLevel="0" collapsed="false">
      <c r="B6" s="18" t="n">
        <v>1</v>
      </c>
      <c r="C6" s="19" t="s">
        <v>10</v>
      </c>
      <c r="D6" s="20" t="s">
        <v>11</v>
      </c>
      <c r="E6" s="21" t="n">
        <v>5</v>
      </c>
      <c r="F6" s="22" t="n">
        <v>3</v>
      </c>
      <c r="G6" s="22" t="n">
        <v>3</v>
      </c>
      <c r="H6" s="22" t="n">
        <v>3</v>
      </c>
      <c r="I6" s="22"/>
      <c r="J6" s="22"/>
      <c r="K6" s="22"/>
      <c r="L6" s="22"/>
      <c r="M6" s="22"/>
      <c r="N6" s="22"/>
      <c r="O6" s="22"/>
      <c r="P6" s="22"/>
      <c r="Q6" s="23"/>
      <c r="R6" s="24" t="n">
        <f aca="false">SUM(E6:Q6)</f>
        <v>14</v>
      </c>
    </row>
    <row r="7" customFormat="false" ht="19.5" hidden="false" customHeight="true" outlineLevel="0" collapsed="false">
      <c r="B7" s="18"/>
      <c r="C7" s="19"/>
      <c r="D7" s="25" t="s">
        <v>12</v>
      </c>
      <c r="E7" s="26" t="n">
        <v>5</v>
      </c>
      <c r="F7" s="27" t="n">
        <v>3</v>
      </c>
      <c r="G7" s="27" t="n">
        <v>4</v>
      </c>
      <c r="H7" s="27" t="n">
        <v>2</v>
      </c>
      <c r="I7" s="27"/>
      <c r="J7" s="27"/>
      <c r="K7" s="27"/>
      <c r="L7" s="27"/>
      <c r="M7" s="27"/>
      <c r="N7" s="27"/>
      <c r="O7" s="27"/>
      <c r="P7" s="27"/>
      <c r="Q7" s="28"/>
      <c r="R7" s="29" t="n">
        <f aca="false">SUM(E7:Q7)</f>
        <v>14</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35"/>
      <c r="R8" s="36" t="n">
        <f aca="false">SUM(E8:Q8)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28"/>
      <c r="R9" s="29" t="n">
        <f aca="false">SUM(E9:Q9)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35"/>
      <c r="R10" s="36" t="n">
        <f aca="false">SUM(E10:Q10)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28"/>
      <c r="R11" s="29" t="n">
        <f aca="false">SUM(E11:Q11)</f>
        <v>24</v>
      </c>
      <c r="T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35"/>
      <c r="R12" s="36" t="n">
        <f aca="false">SUM(E12:Q12)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28"/>
      <c r="R13" s="29" t="n">
        <f aca="false">SUM(E13:Q13)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35"/>
      <c r="R14" s="36" t="n">
        <f aca="false">SUM(E14:Q14)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28"/>
      <c r="R15" s="29" t="n">
        <f aca="false">SUM(E15:Q15)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35"/>
      <c r="R16" s="36" t="n">
        <f aca="false">SUM(E16:Q16)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28"/>
      <c r="R17" s="29" t="n">
        <f aca="false">SUM(E17:Q17)</f>
        <v>0</v>
      </c>
      <c r="T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35"/>
      <c r="R18" s="36" t="n">
        <f aca="false">SUM(E18:Q18)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28"/>
      <c r="R19" s="29" t="n">
        <f aca="false">SUM(E19:Q19)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35"/>
      <c r="R20" s="36" t="n">
        <f aca="false">SUM(E20:Q20)</f>
        <v>0</v>
      </c>
      <c r="T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28"/>
      <c r="R21" s="29" t="n">
        <f aca="false">SUM(E21:Q21)</f>
        <v>0</v>
      </c>
      <c r="T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35"/>
      <c r="R22" s="36" t="n">
        <f aca="false">SUM(E22:Q22)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28"/>
      <c r="R23" s="29" t="n">
        <f aca="false">SUM(E23:Q23)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35"/>
      <c r="R24" s="36" t="n">
        <f aca="false">SUM(E24:Q24)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28"/>
      <c r="R25" s="29" t="n">
        <f aca="false">SUM(E25:Q25)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35"/>
      <c r="R26" s="36" t="n">
        <f aca="false">SUM(E26:Q26)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28"/>
      <c r="R27" s="29" t="n">
        <f aca="false">SUM(E27:Q27)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35"/>
      <c r="R28" s="36" t="n">
        <f aca="false">SUM(E28:Q28)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28"/>
      <c r="R29" s="29" t="n">
        <f aca="false">SUM(E29:Q29)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35"/>
      <c r="R30" s="36" t="n">
        <f aca="false">SUM(E30:Q30)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28"/>
      <c r="R31" s="29" t="n">
        <f aca="false">SUM(E31:Q31)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35"/>
      <c r="R32" s="36" t="n">
        <f aca="false">SUM(E32:Q32)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28"/>
      <c r="R33" s="29" t="n">
        <f aca="false">SUM(E33:Q33)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35"/>
      <c r="R34" s="36" t="n">
        <f aca="false">SUM(E34:Q34)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28"/>
      <c r="R35" s="29" t="n">
        <f aca="false">SUM(E35:Q35)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35"/>
      <c r="R36" s="36" t="n">
        <f aca="false">SUM(E36:Q36)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28"/>
      <c r="R37" s="29" t="n">
        <f aca="false">SUM(E37:Q37)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35"/>
      <c r="R38" s="36" t="n">
        <f aca="false">SUM(E38:Q38)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28"/>
      <c r="R39" s="29" t="n">
        <f aca="false">SUM(E39:Q39)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35"/>
      <c r="R40" s="36" t="n">
        <f aca="false">SUM(E40:Q40)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28"/>
      <c r="R41" s="29" t="n">
        <f aca="false">SUM(E41:Q41)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35"/>
      <c r="R42" s="36" t="n">
        <f aca="false">SUM(E42:Q42)</f>
        <v>0</v>
      </c>
      <c r="T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28"/>
      <c r="R43" s="29" t="n">
        <f aca="false">SUM(E43:Q43)</f>
        <v>0</v>
      </c>
      <c r="T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35"/>
      <c r="R44" s="36" t="n">
        <f aca="false">SUM(E44:Q44)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28"/>
      <c r="R45" s="44" t="n">
        <f aca="false">SUM(E45:Q45)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6</v>
      </c>
      <c r="G46" s="48" t="n">
        <f aca="false" t="array" ref="G46:G46">SUM(G6:G45 *(MOD(ROW(G6:G45), 2) = 0))</f>
        <v>9</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9" t="n">
        <f aca="false">SUM(E46:Q46)</f>
        <v>40</v>
      </c>
    </row>
    <row r="47" customFormat="false" ht="19.5" hidden="false" customHeight="true" outlineLevel="0" collapsed="false">
      <c r="B47" s="50"/>
      <c r="C47" s="51" t="s">
        <v>16</v>
      </c>
      <c r="D47" s="52" t="s">
        <v>11</v>
      </c>
      <c r="E47" s="53" t="n">
        <f aca="false">E46</f>
        <v>11</v>
      </c>
      <c r="F47" s="53" t="n">
        <f aca="false">IF(F46=0,"",_xlfn.AGGREGATE(4,6,E47)+F46)</f>
        <v>17</v>
      </c>
      <c r="G47" s="53" t="n">
        <f aca="false">IF(G46=0,"",_xlfn.AGGREGATE(4,6,E47:F47)+G46)</f>
        <v>26</v>
      </c>
      <c r="H47" s="53" t="n">
        <f aca="false">IF(H46=0,"",_xlfn.AGGREGATE(4,6,E47:G47)+H46)</f>
        <v>30</v>
      </c>
      <c r="I47" s="53" t="n">
        <f aca="false">IF(I46=0,"",_xlfn.AGGREGATE(4,6,E47:H47)+I46)</f>
        <v>40</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IF(Q46=0,"",_xlfn.AGGREGATE(4,6,E47:P47)+Q46)</f>
        <v/>
      </c>
      <c r="R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11</v>
      </c>
      <c r="G48" s="55" t="n">
        <f aca="false" t="array" ref="G48:G48">SUM(G6:G45 *(MOD(ROW(G6:G45), 2) = 1))</f>
        <v>12</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6" t="n">
        <f aca="false">SUM(E48:Q48)</f>
        <v>49</v>
      </c>
    </row>
    <row r="49" customFormat="false" ht="19.5" hidden="false" customHeight="true" outlineLevel="0" collapsed="false">
      <c r="B49" s="57"/>
      <c r="C49" s="58" t="s">
        <v>18</v>
      </c>
      <c r="D49" s="59" t="s">
        <v>12</v>
      </c>
      <c r="E49" s="60" t="n">
        <f aca="false">E48</f>
        <v>11</v>
      </c>
      <c r="F49" s="60" t="n">
        <f aca="false">IF(F48=0,"",_xlfn.AGGREGATE(4,6,E49)+F48)</f>
        <v>22</v>
      </c>
      <c r="G49" s="60" t="n">
        <f aca="false">IF(G48=0,"",_xlfn.AGGREGATE(4,6,E49:F49)+G48)</f>
        <v>34</v>
      </c>
      <c r="H49" s="60" t="n">
        <f aca="false">IF(H48=0,"",_xlfn.AGGREGATE(4,6,E49:G49)+H48)</f>
        <v>40</v>
      </c>
      <c r="I49" s="60" t="n">
        <f aca="false">IF(I48=0,"",_xlfn.AGGREGATE(4,6,E49:H49)+I48)</f>
        <v>49</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IF(Q48=0,"",_xlfn.AGGREGATE(4,6,E49:P49)+Q48)</f>
        <v/>
      </c>
      <c r="R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row>
  </sheetData>
  <autoFilter ref="B5:D49"/>
  <mergeCells count="42">
    <mergeCell ref="I3:K3"/>
    <mergeCell ref="O3:Q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Q13 E15:Q15 E17:Q17 E19:Q19 E21:Q21 E23:Q23 E25:Q25 E27:Q27 E29:Q29 E31:Q31 E33:Q33 E35:Q35 E37:Q37 E39:Q39 E41:Q41 E43:Q43 E45:Q45">
    <cfRule type="cellIs" priority="2" operator="lessThan" aboveAverage="0" equalAverage="0" bottom="0" percent="0" rank="0" text="" dxfId="6">
      <formula>E12</formula>
    </cfRule>
    <cfRule type="cellIs" priority="3" operator="greaterThan" aboveAverage="0" equalAverage="0" bottom="0" percent="0" rank="0" text="" dxfId="7">
      <formula>E12</formula>
    </cfRule>
  </conditionalFormatting>
  <conditionalFormatting sqref="E11:Q11">
    <cfRule type="cellIs" priority="4" operator="lessThan" aboveAverage="0" equalAverage="0" bottom="0" percent="0" rank="0" text="" dxfId="8">
      <formula>E10</formula>
    </cfRule>
    <cfRule type="cellIs" priority="5" operator="greaterThan" aboveAverage="0" equalAverage="0" bottom="0" percent="0" rank="0" text="" dxfId="9">
      <formula>E10</formula>
    </cfRule>
  </conditionalFormatting>
  <conditionalFormatting sqref="E9:Q9">
    <cfRule type="cellIs" priority="6" operator="lessThan" aboveAverage="0" equalAverage="0" bottom="0" percent="0" rank="0" text="" dxfId="10">
      <formula>E$8</formula>
    </cfRule>
    <cfRule type="cellIs" priority="7" operator="greaterThan" aboveAverage="0" equalAverage="0" bottom="0" percent="0" rank="0" text="" dxfId="11">
      <formula>E$8</formula>
    </cfRule>
  </conditionalFormatting>
  <conditionalFormatting sqref="E7:Q7">
    <cfRule type="cellIs" priority="8" operator="lessThan" aboveAverage="0" equalAverage="0" bottom="0" percent="0" rank="0" text="" dxfId="12">
      <formula>E6</formula>
    </cfRule>
    <cfRule type="cellIs" priority="9" operator="greaterThan" aboveAverage="0" equalAverage="0" bottom="0" percent="0" rank="0" text="" dxfId="13">
      <formula>E6</formula>
    </cfRule>
  </conditionalFormatting>
  <conditionalFormatting sqref="F47:Q47">
    <cfRule type="containsErrors" priority="10" aboveAverage="0" equalAverage="0" bottom="0" percent="0" rank="0" text="" dxfId="14">
      <formula>ISERROR(F47)</formula>
    </cfRule>
  </conditionalFormatting>
  <conditionalFormatting sqref="E49:Q49">
    <cfRule type="containsErrors" priority="11" aboveAverage="0" equalAverage="0" bottom="0" percent="0" rank="0" text="" dxfId="1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1" activeCellId="0" sqref="A3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I7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88671875" defaultRowHeight="13.5" customHeight="false" zeroHeight="false" outlineLevelRow="0" outlineLevelCol="0"/>
  <cols>
    <col collapsed="false" customWidth="true" hidden="false" outlineLevel="0" max="1" min="1" style="1" width="1.67"/>
    <col collapsed="false" customWidth="true" hidden="false" outlineLevel="0" max="2" min="2" style="1" width="4.88"/>
    <col collapsed="false" customWidth="true" hidden="false" outlineLevel="0" max="3" min="3" style="1" width="21.67"/>
    <col collapsed="false" customWidth="true" hidden="false" outlineLevel="0" max="4" min="4" style="1" width="12.44"/>
    <col collapsed="false" customWidth="true" hidden="false" outlineLevel="0" max="57" min="5" style="1" width="12.88"/>
    <col collapsed="false" customWidth="true" hidden="false" outlineLevel="0" max="58" min="58" style="1" width="14.44"/>
    <col collapsed="false" customWidth="true" hidden="false" outlineLevel="0" max="59" min="59" style="1" width="14.21"/>
    <col collapsed="false" customWidth="true" hidden="false" outlineLevel="0" max="60" min="60" style="1" width="2"/>
    <col collapsed="false" customWidth="false" hidden="false" outlineLevel="0" max="16384" min="61" style="1" width="8.88"/>
  </cols>
  <sheetData>
    <row r="1" customFormat="false" ht="9" hidden="false" customHeight="true" outlineLevel="0" collapsed="false">
      <c r="B1" s="2"/>
      <c r="C1" s="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4"/>
    </row>
    <row r="2" customFormat="false" ht="24.75" hidden="false" customHeight="true" outlineLevel="0" collapsed="false">
      <c r="B2" s="5"/>
      <c r="C2" s="5"/>
      <c r="D2" s="6"/>
      <c r="E2" s="6"/>
      <c r="F2" s="6"/>
      <c r="G2" s="6"/>
      <c r="H2" s="6"/>
      <c r="I2" s="7" t="s">
        <v>19</v>
      </c>
      <c r="J2" s="7"/>
      <c r="K2" s="7"/>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4"/>
    </row>
    <row r="3" customFormat="false" ht="18.75" hidden="false" customHeight="true" outlineLevel="0" collapsed="false">
      <c r="B3" s="2"/>
      <c r="C3" s="8" t="s">
        <v>1</v>
      </c>
      <c r="D3" s="63" t="n">
        <v>45107</v>
      </c>
      <c r="E3" s="3"/>
      <c r="F3" s="10"/>
      <c r="G3" s="3"/>
      <c r="H3" s="3"/>
      <c r="I3" s="11" t="s">
        <v>2</v>
      </c>
      <c r="J3" s="11"/>
      <c r="K3" s="11"/>
      <c r="L3" s="3"/>
      <c r="M3" s="3"/>
      <c r="N3" s="8" t="s">
        <v>3</v>
      </c>
      <c r="O3" s="64"/>
      <c r="P3" s="65"/>
      <c r="Q3" s="65"/>
      <c r="R3" s="66"/>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3"/>
      <c r="BH3" s="4"/>
      <c r="BI3" s="13" t="s">
        <v>4</v>
      </c>
    </row>
    <row r="4" customFormat="false" ht="9" hidden="false" customHeight="true" outlineLevel="0" collapsed="false">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customFormat="false" ht="19.5" hidden="false" customHeight="true" outlineLevel="0" collapsed="false">
      <c r="B5" s="14" t="s">
        <v>5</v>
      </c>
      <c r="C5" s="15" t="s">
        <v>6</v>
      </c>
      <c r="D5" s="15" t="s">
        <v>7</v>
      </c>
      <c r="E5" s="68" t="n">
        <f aca="false">D3</f>
        <v>45107</v>
      </c>
      <c r="F5" s="68" t="n">
        <f aca="false">E5+7</f>
        <v>45114</v>
      </c>
      <c r="G5" s="68" t="n">
        <f aca="false">F5+7</f>
        <v>45121</v>
      </c>
      <c r="H5" s="68" t="n">
        <f aca="false">G5+7</f>
        <v>45128</v>
      </c>
      <c r="I5" s="68" t="n">
        <f aca="false">H5+7</f>
        <v>45135</v>
      </c>
      <c r="J5" s="68" t="n">
        <f aca="false">I5+7</f>
        <v>45142</v>
      </c>
      <c r="K5" s="68" t="n">
        <f aca="false">J5+7</f>
        <v>45149</v>
      </c>
      <c r="L5" s="68" t="n">
        <f aca="false">K5+7</f>
        <v>45156</v>
      </c>
      <c r="M5" s="68" t="n">
        <f aca="false">L5+7</f>
        <v>45163</v>
      </c>
      <c r="N5" s="68" t="n">
        <f aca="false">M5+7</f>
        <v>45170</v>
      </c>
      <c r="O5" s="68" t="n">
        <f aca="false">N5+7</f>
        <v>45177</v>
      </c>
      <c r="P5" s="68" t="n">
        <f aca="false">O5+7</f>
        <v>45184</v>
      </c>
      <c r="Q5" s="68" t="n">
        <f aca="false">P5+7</f>
        <v>45191</v>
      </c>
      <c r="R5" s="68" t="n">
        <f aca="false">Q5+7</f>
        <v>45198</v>
      </c>
      <c r="S5" s="68" t="n">
        <f aca="false">R5+7</f>
        <v>45205</v>
      </c>
      <c r="T5" s="68" t="n">
        <f aca="false">S5+7</f>
        <v>45212</v>
      </c>
      <c r="U5" s="68" t="n">
        <f aca="false">T5+7</f>
        <v>45219</v>
      </c>
      <c r="V5" s="68" t="n">
        <f aca="false">U5+7</f>
        <v>45226</v>
      </c>
      <c r="W5" s="68" t="n">
        <f aca="false">V5+7</f>
        <v>45233</v>
      </c>
      <c r="X5" s="68" t="n">
        <f aca="false">W5+7</f>
        <v>45240</v>
      </c>
      <c r="Y5" s="68" t="n">
        <f aca="false">X5+7</f>
        <v>45247</v>
      </c>
      <c r="Z5" s="68" t="n">
        <f aca="false">Y5+7</f>
        <v>45254</v>
      </c>
      <c r="AA5" s="68" t="n">
        <f aca="false">Z5+7</f>
        <v>45261</v>
      </c>
      <c r="AB5" s="68" t="n">
        <f aca="false">AA5+7</f>
        <v>45268</v>
      </c>
      <c r="AC5" s="68" t="n">
        <f aca="false">AB5+7</f>
        <v>45275</v>
      </c>
      <c r="AD5" s="68" t="n">
        <f aca="false">AC5+7</f>
        <v>45282</v>
      </c>
      <c r="AE5" s="68" t="n">
        <f aca="false">AD5+7</f>
        <v>45289</v>
      </c>
      <c r="AF5" s="68" t="n">
        <f aca="false">AE5+7</f>
        <v>45296</v>
      </c>
      <c r="AG5" s="68" t="n">
        <f aca="false">AF5+7</f>
        <v>45303</v>
      </c>
      <c r="AH5" s="68" t="n">
        <f aca="false">AG5+7</f>
        <v>45310</v>
      </c>
      <c r="AI5" s="68" t="n">
        <f aca="false">AH5+7</f>
        <v>45317</v>
      </c>
      <c r="AJ5" s="68" t="n">
        <f aca="false">AI5+7</f>
        <v>45324</v>
      </c>
      <c r="AK5" s="68" t="n">
        <f aca="false">AJ5+7</f>
        <v>45331</v>
      </c>
      <c r="AL5" s="68" t="n">
        <f aca="false">AK5+7</f>
        <v>45338</v>
      </c>
      <c r="AM5" s="68" t="n">
        <f aca="false">AL5+7</f>
        <v>45345</v>
      </c>
      <c r="AN5" s="68" t="n">
        <f aca="false">AM5+7</f>
        <v>45352</v>
      </c>
      <c r="AO5" s="68" t="n">
        <f aca="false">AN5+7</f>
        <v>45359</v>
      </c>
      <c r="AP5" s="68" t="n">
        <f aca="false">AO5+7</f>
        <v>45366</v>
      </c>
      <c r="AQ5" s="68" t="n">
        <f aca="false">AP5+7</f>
        <v>45373</v>
      </c>
      <c r="AR5" s="68" t="n">
        <f aca="false">AQ5+7</f>
        <v>45380</v>
      </c>
      <c r="AS5" s="68" t="n">
        <f aca="false">AR5+7</f>
        <v>45387</v>
      </c>
      <c r="AT5" s="68" t="n">
        <f aca="false">AS5+7</f>
        <v>45394</v>
      </c>
      <c r="AU5" s="68" t="n">
        <f aca="false">AT5+7</f>
        <v>45401</v>
      </c>
      <c r="AV5" s="68" t="n">
        <f aca="false">AU5+7</f>
        <v>45408</v>
      </c>
      <c r="AW5" s="68" t="n">
        <f aca="false">AV5+7</f>
        <v>45415</v>
      </c>
      <c r="AX5" s="68" t="n">
        <f aca="false">AW5+7</f>
        <v>45422</v>
      </c>
      <c r="AY5" s="68" t="n">
        <f aca="false">AX5+7</f>
        <v>45429</v>
      </c>
      <c r="AZ5" s="68" t="n">
        <f aca="false">AY5+7</f>
        <v>45436</v>
      </c>
      <c r="BA5" s="68" t="n">
        <f aca="false">AZ5+7</f>
        <v>45443</v>
      </c>
      <c r="BB5" s="68" t="n">
        <f aca="false">BA5+7</f>
        <v>45450</v>
      </c>
      <c r="BC5" s="68" t="n">
        <f aca="false">BB5+7</f>
        <v>45457</v>
      </c>
      <c r="BD5" s="68" t="n">
        <f aca="false">BC5+7</f>
        <v>45464</v>
      </c>
      <c r="BE5" s="68" t="n">
        <f aca="false">BD5+7</f>
        <v>45471</v>
      </c>
      <c r="BF5" s="68" t="n">
        <f aca="false">BE5+7</f>
        <v>45478</v>
      </c>
      <c r="BG5" s="17" t="s">
        <v>8</v>
      </c>
      <c r="BI5" s="13" t="s">
        <v>9</v>
      </c>
    </row>
    <row r="6" customFormat="false" ht="19.5" hidden="false" customHeight="true" outlineLevel="0" collapsed="false">
      <c r="B6" s="18" t="n">
        <v>1</v>
      </c>
      <c r="C6" s="19" t="s">
        <v>10</v>
      </c>
      <c r="D6" s="20" t="s">
        <v>11</v>
      </c>
      <c r="E6" s="21" t="n">
        <v>5</v>
      </c>
      <c r="F6" s="22" t="n">
        <v>5</v>
      </c>
      <c r="G6" s="22" t="n">
        <v>14</v>
      </c>
      <c r="H6" s="22" t="n">
        <v>3</v>
      </c>
      <c r="I6" s="22"/>
      <c r="J6" s="22"/>
      <c r="K6" s="22"/>
      <c r="L6" s="22"/>
      <c r="M6" s="22"/>
      <c r="N6" s="22"/>
      <c r="O6" s="22"/>
      <c r="P6" s="22"/>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23"/>
      <c r="BG6" s="24" t="n">
        <f aca="false">SUM(E6:BF6)</f>
        <v>27</v>
      </c>
    </row>
    <row r="7" customFormat="false" ht="19.5" hidden="false" customHeight="true" outlineLevel="0" collapsed="false">
      <c r="B7" s="18"/>
      <c r="C7" s="19"/>
      <c r="D7" s="25" t="s">
        <v>12</v>
      </c>
      <c r="E7" s="26" t="n">
        <v>5</v>
      </c>
      <c r="F7" s="27" t="n">
        <v>7</v>
      </c>
      <c r="G7" s="27" t="n">
        <v>16</v>
      </c>
      <c r="H7" s="27" t="n">
        <v>2</v>
      </c>
      <c r="I7" s="27"/>
      <c r="J7" s="27"/>
      <c r="K7" s="27"/>
      <c r="L7" s="27"/>
      <c r="M7" s="27"/>
      <c r="N7" s="27"/>
      <c r="O7" s="27"/>
      <c r="P7" s="27"/>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28"/>
      <c r="BG7" s="29" t="n">
        <f aca="false">SUM(E7:BF7)</f>
        <v>30</v>
      </c>
    </row>
    <row r="8" customFormat="false" ht="19.5" hidden="false" customHeight="true" outlineLevel="0" collapsed="false">
      <c r="B8" s="30" t="n">
        <v>2</v>
      </c>
      <c r="C8" s="31" t="s">
        <v>10</v>
      </c>
      <c r="D8" s="32" t="s">
        <v>11</v>
      </c>
      <c r="E8" s="33" t="n">
        <v>3</v>
      </c>
      <c r="F8" s="34" t="n">
        <v>1</v>
      </c>
      <c r="G8" s="34" t="n">
        <v>4</v>
      </c>
      <c r="H8" s="34"/>
      <c r="I8" s="34"/>
      <c r="J8" s="34"/>
      <c r="K8" s="34"/>
      <c r="L8" s="34"/>
      <c r="M8" s="34"/>
      <c r="N8" s="34"/>
      <c r="O8" s="34"/>
      <c r="P8" s="34"/>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35"/>
      <c r="BG8" s="36" t="n">
        <f aca="false">SUM(E8:BF8)</f>
        <v>8</v>
      </c>
    </row>
    <row r="9" customFormat="false" ht="19.5" hidden="false" customHeight="true" outlineLevel="0" collapsed="false">
      <c r="B9" s="30"/>
      <c r="C9" s="31"/>
      <c r="D9" s="25" t="s">
        <v>12</v>
      </c>
      <c r="E9" s="26" t="n">
        <v>3</v>
      </c>
      <c r="F9" s="27" t="n">
        <v>4</v>
      </c>
      <c r="G9" s="27" t="n">
        <v>4</v>
      </c>
      <c r="H9" s="27"/>
      <c r="I9" s="27"/>
      <c r="J9" s="27"/>
      <c r="K9" s="27"/>
      <c r="L9" s="27"/>
      <c r="M9" s="27"/>
      <c r="N9" s="27"/>
      <c r="O9" s="27"/>
      <c r="P9" s="27"/>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28"/>
      <c r="BG9" s="29" t="n">
        <f aca="false">SUM(E9:BF9)</f>
        <v>11</v>
      </c>
    </row>
    <row r="10" customFormat="false" ht="19.5" hidden="false" customHeight="true" outlineLevel="0" collapsed="false">
      <c r="B10" s="30" t="n">
        <v>3</v>
      </c>
      <c r="C10" s="31" t="s">
        <v>10</v>
      </c>
      <c r="D10" s="32" t="s">
        <v>11</v>
      </c>
      <c r="E10" s="33" t="n">
        <v>3</v>
      </c>
      <c r="F10" s="34" t="n">
        <v>2</v>
      </c>
      <c r="G10" s="34" t="n">
        <v>2</v>
      </c>
      <c r="H10" s="34" t="n">
        <v>1</v>
      </c>
      <c r="I10" s="34" t="n">
        <v>10</v>
      </c>
      <c r="J10" s="34"/>
      <c r="K10" s="34"/>
      <c r="L10" s="34"/>
      <c r="M10" s="34"/>
      <c r="N10" s="34"/>
      <c r="O10" s="34"/>
      <c r="P10" s="34"/>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35"/>
      <c r="BG10" s="36" t="n">
        <f aca="false">SUM(E10:BF10)</f>
        <v>18</v>
      </c>
    </row>
    <row r="11" customFormat="false" ht="19.5" hidden="false" customHeight="true" outlineLevel="0" collapsed="false">
      <c r="B11" s="30"/>
      <c r="C11" s="31"/>
      <c r="D11" s="25" t="s">
        <v>12</v>
      </c>
      <c r="E11" s="26" t="n">
        <v>3</v>
      </c>
      <c r="F11" s="27" t="n">
        <v>4</v>
      </c>
      <c r="G11" s="27" t="n">
        <v>4</v>
      </c>
      <c r="H11" s="27" t="n">
        <v>4</v>
      </c>
      <c r="I11" s="27" t="n">
        <v>9</v>
      </c>
      <c r="J11" s="27"/>
      <c r="K11" s="27"/>
      <c r="L11" s="27"/>
      <c r="M11" s="27"/>
      <c r="N11" s="27"/>
      <c r="O11" s="27"/>
      <c r="P11" s="27"/>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28"/>
      <c r="BG11" s="29" t="n">
        <f aca="false">SUM(E11:BF11)</f>
        <v>24</v>
      </c>
      <c r="BI11" s="37"/>
    </row>
    <row r="12" customFormat="false" ht="19.5" hidden="false" customHeight="true" outlineLevel="0" collapsed="false">
      <c r="B12" s="30" t="n">
        <v>4</v>
      </c>
      <c r="C12" s="31" t="s">
        <v>10</v>
      </c>
      <c r="D12" s="32" t="s">
        <v>11</v>
      </c>
      <c r="E12" s="33"/>
      <c r="F12" s="34"/>
      <c r="G12" s="34"/>
      <c r="H12" s="34"/>
      <c r="I12" s="34"/>
      <c r="J12" s="34"/>
      <c r="K12" s="34"/>
      <c r="L12" s="34"/>
      <c r="M12" s="34"/>
      <c r="N12" s="34"/>
      <c r="O12" s="34"/>
      <c r="P12" s="34"/>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35"/>
      <c r="BG12" s="36" t="n">
        <f aca="false">SUM(E12:BF12)</f>
        <v>0</v>
      </c>
    </row>
    <row r="13" customFormat="false" ht="19.5" hidden="false" customHeight="true" outlineLevel="0" collapsed="false">
      <c r="B13" s="30"/>
      <c r="C13" s="31"/>
      <c r="D13" s="25" t="s">
        <v>12</v>
      </c>
      <c r="E13" s="26"/>
      <c r="F13" s="27"/>
      <c r="G13" s="27"/>
      <c r="H13" s="27"/>
      <c r="I13" s="27"/>
      <c r="J13" s="27"/>
      <c r="K13" s="27"/>
      <c r="L13" s="27"/>
      <c r="M13" s="27"/>
      <c r="N13" s="27"/>
      <c r="O13" s="27"/>
      <c r="P13" s="27"/>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28"/>
      <c r="BG13" s="29" t="n">
        <f aca="false">SUM(E13:BF13)</f>
        <v>0</v>
      </c>
    </row>
    <row r="14" customFormat="false" ht="19.5" hidden="false" customHeight="true" outlineLevel="0" collapsed="false">
      <c r="B14" s="30" t="n">
        <v>5</v>
      </c>
      <c r="C14" s="31" t="s">
        <v>10</v>
      </c>
      <c r="D14" s="38" t="s">
        <v>11</v>
      </c>
      <c r="E14" s="33"/>
      <c r="F14" s="34"/>
      <c r="G14" s="34"/>
      <c r="H14" s="34"/>
      <c r="I14" s="34"/>
      <c r="J14" s="34"/>
      <c r="K14" s="34"/>
      <c r="L14" s="34"/>
      <c r="M14" s="34"/>
      <c r="N14" s="34"/>
      <c r="O14" s="34"/>
      <c r="P14" s="34"/>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35"/>
      <c r="BG14" s="36" t="n">
        <f aca="false">SUM(E14:BF14)</f>
        <v>0</v>
      </c>
    </row>
    <row r="15" customFormat="false" ht="19.5" hidden="false" customHeight="true" outlineLevel="0" collapsed="false">
      <c r="B15" s="30"/>
      <c r="C15" s="31"/>
      <c r="D15" s="25" t="s">
        <v>12</v>
      </c>
      <c r="E15" s="26"/>
      <c r="F15" s="27"/>
      <c r="G15" s="27"/>
      <c r="H15" s="27"/>
      <c r="I15" s="27"/>
      <c r="J15" s="27"/>
      <c r="K15" s="27"/>
      <c r="L15" s="27"/>
      <c r="M15" s="27"/>
      <c r="N15" s="27"/>
      <c r="O15" s="27"/>
      <c r="P15" s="27"/>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28"/>
      <c r="BG15" s="29" t="n">
        <f aca="false">SUM(E15:BF15)</f>
        <v>0</v>
      </c>
    </row>
    <row r="16" customFormat="false" ht="19.5" hidden="false" customHeight="true" outlineLevel="0" collapsed="false">
      <c r="B16" s="30" t="n">
        <v>6</v>
      </c>
      <c r="C16" s="31" t="s">
        <v>10</v>
      </c>
      <c r="D16" s="38" t="s">
        <v>11</v>
      </c>
      <c r="E16" s="33"/>
      <c r="F16" s="34"/>
      <c r="G16" s="34"/>
      <c r="H16" s="34"/>
      <c r="I16" s="34"/>
      <c r="J16" s="34"/>
      <c r="K16" s="34"/>
      <c r="L16" s="34"/>
      <c r="M16" s="34"/>
      <c r="N16" s="34"/>
      <c r="O16" s="34"/>
      <c r="P16" s="34"/>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35"/>
      <c r="BG16" s="36" t="n">
        <f aca="false">SUM(E16:BF16)</f>
        <v>0</v>
      </c>
    </row>
    <row r="17" customFormat="false" ht="19.5" hidden="false" customHeight="true" outlineLevel="0" collapsed="false">
      <c r="B17" s="30"/>
      <c r="C17" s="31"/>
      <c r="D17" s="25" t="s">
        <v>12</v>
      </c>
      <c r="E17" s="26"/>
      <c r="F17" s="27"/>
      <c r="G17" s="27"/>
      <c r="H17" s="27"/>
      <c r="I17" s="27"/>
      <c r="J17" s="27"/>
      <c r="K17" s="27"/>
      <c r="L17" s="27"/>
      <c r="M17" s="27"/>
      <c r="N17" s="27"/>
      <c r="O17" s="27"/>
      <c r="P17" s="27"/>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28"/>
      <c r="BG17" s="29" t="n">
        <f aca="false">SUM(E17:BF17)</f>
        <v>0</v>
      </c>
      <c r="BI17" s="13"/>
    </row>
    <row r="18" customFormat="false" ht="19.5" hidden="false" customHeight="true" outlineLevel="0" collapsed="false">
      <c r="B18" s="30" t="n">
        <v>7</v>
      </c>
      <c r="C18" s="31" t="s">
        <v>10</v>
      </c>
      <c r="D18" s="38" t="s">
        <v>11</v>
      </c>
      <c r="E18" s="33"/>
      <c r="F18" s="34"/>
      <c r="G18" s="34"/>
      <c r="H18" s="34"/>
      <c r="I18" s="34"/>
      <c r="J18" s="34"/>
      <c r="K18" s="34"/>
      <c r="L18" s="34"/>
      <c r="M18" s="34"/>
      <c r="N18" s="34"/>
      <c r="O18" s="34"/>
      <c r="P18" s="34"/>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35"/>
      <c r="BG18" s="36" t="n">
        <f aca="false">SUM(E18:BF18)</f>
        <v>0</v>
      </c>
    </row>
    <row r="19" customFormat="false" ht="19.5" hidden="false" customHeight="true" outlineLevel="0" collapsed="false">
      <c r="B19" s="30"/>
      <c r="C19" s="31"/>
      <c r="D19" s="25" t="s">
        <v>12</v>
      </c>
      <c r="E19" s="26"/>
      <c r="F19" s="27"/>
      <c r="G19" s="27"/>
      <c r="H19" s="27"/>
      <c r="I19" s="27"/>
      <c r="J19" s="27"/>
      <c r="K19" s="27"/>
      <c r="L19" s="27"/>
      <c r="M19" s="27"/>
      <c r="N19" s="27"/>
      <c r="O19" s="27"/>
      <c r="P19" s="27"/>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28"/>
      <c r="BG19" s="29" t="n">
        <f aca="false">SUM(E19:BF19)</f>
        <v>0</v>
      </c>
    </row>
    <row r="20" customFormat="false" ht="19.5" hidden="false" customHeight="true" outlineLevel="0" collapsed="false">
      <c r="B20" s="30" t="n">
        <v>8</v>
      </c>
      <c r="C20" s="31" t="s">
        <v>10</v>
      </c>
      <c r="D20" s="38" t="s">
        <v>11</v>
      </c>
      <c r="E20" s="33"/>
      <c r="F20" s="34"/>
      <c r="G20" s="34"/>
      <c r="H20" s="34"/>
      <c r="I20" s="34"/>
      <c r="J20" s="34"/>
      <c r="K20" s="34"/>
      <c r="L20" s="34"/>
      <c r="M20" s="34"/>
      <c r="N20" s="34"/>
      <c r="O20" s="34"/>
      <c r="P20" s="34"/>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35"/>
      <c r="BG20" s="36" t="n">
        <f aca="false">SUM(E20:BF20)</f>
        <v>0</v>
      </c>
      <c r="BI20" s="13"/>
    </row>
    <row r="21" customFormat="false" ht="19.5" hidden="false" customHeight="true" outlineLevel="0" collapsed="false">
      <c r="B21" s="30"/>
      <c r="C21" s="31"/>
      <c r="D21" s="25" t="s">
        <v>12</v>
      </c>
      <c r="E21" s="26"/>
      <c r="F21" s="27"/>
      <c r="G21" s="27"/>
      <c r="H21" s="27"/>
      <c r="I21" s="27"/>
      <c r="J21" s="27"/>
      <c r="K21" s="27"/>
      <c r="L21" s="27"/>
      <c r="M21" s="27"/>
      <c r="N21" s="27"/>
      <c r="O21" s="27"/>
      <c r="P21" s="27"/>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28"/>
      <c r="BG21" s="29" t="n">
        <f aca="false">SUM(E21:BF21)</f>
        <v>0</v>
      </c>
      <c r="BI21" s="13"/>
    </row>
    <row r="22" customFormat="false" ht="19.5" hidden="false" customHeight="true" outlineLevel="0" collapsed="false">
      <c r="B22" s="30" t="n">
        <v>9</v>
      </c>
      <c r="C22" s="31" t="s">
        <v>10</v>
      </c>
      <c r="D22" s="38" t="s">
        <v>11</v>
      </c>
      <c r="E22" s="33"/>
      <c r="F22" s="34"/>
      <c r="G22" s="34"/>
      <c r="H22" s="34"/>
      <c r="I22" s="34"/>
      <c r="J22" s="34"/>
      <c r="K22" s="34"/>
      <c r="L22" s="34"/>
      <c r="M22" s="34"/>
      <c r="N22" s="34"/>
      <c r="O22" s="34"/>
      <c r="P22" s="34"/>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35"/>
      <c r="BG22" s="36" t="n">
        <f aca="false">SUM(E22:BF22)</f>
        <v>0</v>
      </c>
    </row>
    <row r="23" customFormat="false" ht="19.5" hidden="false" customHeight="true" outlineLevel="0" collapsed="false">
      <c r="B23" s="30"/>
      <c r="C23" s="31"/>
      <c r="D23" s="25" t="s">
        <v>12</v>
      </c>
      <c r="E23" s="26"/>
      <c r="F23" s="27"/>
      <c r="G23" s="27"/>
      <c r="H23" s="27"/>
      <c r="I23" s="27"/>
      <c r="J23" s="27"/>
      <c r="K23" s="27"/>
      <c r="L23" s="27"/>
      <c r="M23" s="27"/>
      <c r="N23" s="27"/>
      <c r="O23" s="27"/>
      <c r="P23" s="27"/>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28"/>
      <c r="BG23" s="29" t="n">
        <f aca="false">SUM(E23:BF23)</f>
        <v>0</v>
      </c>
    </row>
    <row r="24" customFormat="false" ht="19.5" hidden="false" customHeight="true" outlineLevel="0" collapsed="false">
      <c r="B24" s="30" t="n">
        <v>10</v>
      </c>
      <c r="C24" s="31" t="s">
        <v>10</v>
      </c>
      <c r="D24" s="38" t="s">
        <v>11</v>
      </c>
      <c r="E24" s="33"/>
      <c r="F24" s="34"/>
      <c r="G24" s="34"/>
      <c r="H24" s="34"/>
      <c r="I24" s="34"/>
      <c r="J24" s="34"/>
      <c r="K24" s="34"/>
      <c r="L24" s="34"/>
      <c r="M24" s="34"/>
      <c r="N24" s="34"/>
      <c r="O24" s="34"/>
      <c r="P24" s="34"/>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35"/>
      <c r="BG24" s="36" t="n">
        <f aca="false">SUM(E24:BF24)</f>
        <v>0</v>
      </c>
    </row>
    <row r="25" customFormat="false" ht="19.5" hidden="false" customHeight="true" outlineLevel="0" collapsed="false">
      <c r="B25" s="30"/>
      <c r="C25" s="31"/>
      <c r="D25" s="25" t="s">
        <v>12</v>
      </c>
      <c r="E25" s="26"/>
      <c r="F25" s="27"/>
      <c r="G25" s="27"/>
      <c r="H25" s="27"/>
      <c r="I25" s="27"/>
      <c r="J25" s="27"/>
      <c r="K25" s="27"/>
      <c r="L25" s="27"/>
      <c r="M25" s="27"/>
      <c r="N25" s="27"/>
      <c r="O25" s="27"/>
      <c r="P25" s="27"/>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28"/>
      <c r="BG25" s="29" t="n">
        <f aca="false">SUM(E25:BF25)</f>
        <v>0</v>
      </c>
    </row>
    <row r="26" customFormat="false" ht="19.5" hidden="false" customHeight="true" outlineLevel="0" collapsed="false">
      <c r="B26" s="30" t="n">
        <v>11</v>
      </c>
      <c r="C26" s="31" t="s">
        <v>10</v>
      </c>
      <c r="D26" s="38" t="s">
        <v>11</v>
      </c>
      <c r="E26" s="33"/>
      <c r="F26" s="34"/>
      <c r="G26" s="34"/>
      <c r="H26" s="34"/>
      <c r="I26" s="34"/>
      <c r="J26" s="34"/>
      <c r="K26" s="34"/>
      <c r="L26" s="34"/>
      <c r="M26" s="34"/>
      <c r="N26" s="34"/>
      <c r="O26" s="34"/>
      <c r="P26" s="34"/>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35"/>
      <c r="BG26" s="36" t="n">
        <f aca="false">SUM(E26:BF26)</f>
        <v>0</v>
      </c>
    </row>
    <row r="27" customFormat="false" ht="19.5" hidden="false" customHeight="true" outlineLevel="0" collapsed="false">
      <c r="B27" s="30"/>
      <c r="C27" s="31"/>
      <c r="D27" s="25" t="s">
        <v>12</v>
      </c>
      <c r="E27" s="26"/>
      <c r="F27" s="27"/>
      <c r="G27" s="27"/>
      <c r="H27" s="27"/>
      <c r="I27" s="27"/>
      <c r="J27" s="27"/>
      <c r="K27" s="27"/>
      <c r="L27" s="27"/>
      <c r="M27" s="27"/>
      <c r="N27" s="27"/>
      <c r="O27" s="27"/>
      <c r="P27" s="27"/>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28"/>
      <c r="BG27" s="29" t="n">
        <f aca="false">SUM(E27:BF27)</f>
        <v>0</v>
      </c>
    </row>
    <row r="28" customFormat="false" ht="19.5" hidden="false" customHeight="true" outlineLevel="0" collapsed="false">
      <c r="B28" s="30" t="n">
        <v>12</v>
      </c>
      <c r="C28" s="31" t="s">
        <v>10</v>
      </c>
      <c r="D28" s="38" t="s">
        <v>11</v>
      </c>
      <c r="E28" s="33"/>
      <c r="F28" s="34"/>
      <c r="G28" s="34"/>
      <c r="H28" s="34"/>
      <c r="I28" s="34"/>
      <c r="J28" s="34"/>
      <c r="K28" s="34"/>
      <c r="L28" s="34"/>
      <c r="M28" s="34"/>
      <c r="N28" s="34"/>
      <c r="O28" s="34"/>
      <c r="P28" s="34"/>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35"/>
      <c r="BG28" s="36" t="n">
        <f aca="false">SUM(E28:BF28)</f>
        <v>0</v>
      </c>
    </row>
    <row r="29" customFormat="false" ht="19.5" hidden="false" customHeight="true" outlineLevel="0" collapsed="false">
      <c r="B29" s="30"/>
      <c r="C29" s="31"/>
      <c r="D29" s="25" t="s">
        <v>12</v>
      </c>
      <c r="E29" s="26"/>
      <c r="F29" s="27"/>
      <c r="G29" s="27"/>
      <c r="H29" s="27"/>
      <c r="I29" s="27"/>
      <c r="J29" s="27"/>
      <c r="K29" s="27"/>
      <c r="L29" s="27"/>
      <c r="M29" s="27"/>
      <c r="N29" s="27"/>
      <c r="O29" s="27"/>
      <c r="P29" s="27"/>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28"/>
      <c r="BG29" s="29" t="n">
        <f aca="false">SUM(E29:BF29)</f>
        <v>0</v>
      </c>
    </row>
    <row r="30" customFormat="false" ht="19.5" hidden="false" customHeight="true" outlineLevel="0" collapsed="false">
      <c r="B30" s="30" t="n">
        <v>13</v>
      </c>
      <c r="C30" s="31" t="s">
        <v>10</v>
      </c>
      <c r="D30" s="38" t="s">
        <v>11</v>
      </c>
      <c r="E30" s="33"/>
      <c r="F30" s="34"/>
      <c r="G30" s="34"/>
      <c r="H30" s="34"/>
      <c r="I30" s="34"/>
      <c r="J30" s="34"/>
      <c r="K30" s="34"/>
      <c r="L30" s="34"/>
      <c r="M30" s="34"/>
      <c r="N30" s="34"/>
      <c r="O30" s="34"/>
      <c r="P30" s="34"/>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35"/>
      <c r="BG30" s="36" t="n">
        <f aca="false">SUM(E30:BF30)</f>
        <v>0</v>
      </c>
    </row>
    <row r="31" customFormat="false" ht="19.5" hidden="false" customHeight="true" outlineLevel="0" collapsed="false">
      <c r="B31" s="30"/>
      <c r="C31" s="31"/>
      <c r="D31" s="25" t="s">
        <v>12</v>
      </c>
      <c r="E31" s="26"/>
      <c r="F31" s="27"/>
      <c r="G31" s="27"/>
      <c r="H31" s="27"/>
      <c r="I31" s="27"/>
      <c r="J31" s="27"/>
      <c r="K31" s="27"/>
      <c r="L31" s="27"/>
      <c r="M31" s="27"/>
      <c r="N31" s="27"/>
      <c r="O31" s="27"/>
      <c r="P31" s="27"/>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28"/>
      <c r="BG31" s="29" t="n">
        <f aca="false">SUM(E31:BF31)</f>
        <v>0</v>
      </c>
    </row>
    <row r="32" customFormat="false" ht="19.5" hidden="false" customHeight="true" outlineLevel="0" collapsed="false">
      <c r="B32" s="30" t="n">
        <v>14</v>
      </c>
      <c r="C32" s="31" t="s">
        <v>10</v>
      </c>
      <c r="D32" s="38" t="s">
        <v>11</v>
      </c>
      <c r="E32" s="33"/>
      <c r="F32" s="34"/>
      <c r="G32" s="34"/>
      <c r="H32" s="34"/>
      <c r="I32" s="34"/>
      <c r="J32" s="34"/>
      <c r="K32" s="34"/>
      <c r="L32" s="34"/>
      <c r="M32" s="34"/>
      <c r="N32" s="34"/>
      <c r="O32" s="34"/>
      <c r="P32" s="34"/>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35"/>
      <c r="BG32" s="36" t="n">
        <f aca="false">SUM(E32:BF32)</f>
        <v>0</v>
      </c>
    </row>
    <row r="33" customFormat="false" ht="19.5" hidden="false" customHeight="true" outlineLevel="0" collapsed="false">
      <c r="B33" s="30"/>
      <c r="C33" s="31"/>
      <c r="D33" s="39" t="s">
        <v>12</v>
      </c>
      <c r="E33" s="26"/>
      <c r="F33" s="27"/>
      <c r="G33" s="27"/>
      <c r="H33" s="27"/>
      <c r="I33" s="27"/>
      <c r="J33" s="27"/>
      <c r="K33" s="27"/>
      <c r="L33" s="27"/>
      <c r="M33" s="27"/>
      <c r="N33" s="27"/>
      <c r="O33" s="27"/>
      <c r="P33" s="27"/>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28"/>
      <c r="BG33" s="29" t="n">
        <f aca="false">SUM(E33:BF33)</f>
        <v>0</v>
      </c>
    </row>
    <row r="34" customFormat="false" ht="19.5" hidden="false" customHeight="true" outlineLevel="0" collapsed="false">
      <c r="B34" s="30" t="n">
        <v>15</v>
      </c>
      <c r="C34" s="31" t="s">
        <v>10</v>
      </c>
      <c r="D34" s="38" t="s">
        <v>11</v>
      </c>
      <c r="E34" s="33"/>
      <c r="F34" s="34"/>
      <c r="G34" s="34"/>
      <c r="H34" s="34"/>
      <c r="I34" s="34"/>
      <c r="J34" s="34"/>
      <c r="K34" s="34"/>
      <c r="L34" s="34"/>
      <c r="M34" s="34"/>
      <c r="N34" s="34"/>
      <c r="O34" s="34"/>
      <c r="P34" s="34"/>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35"/>
      <c r="BG34" s="36" t="n">
        <f aca="false">SUM(E34:BF34)</f>
        <v>0</v>
      </c>
    </row>
    <row r="35" customFormat="false" ht="19.5" hidden="false" customHeight="true" outlineLevel="0" collapsed="false">
      <c r="B35" s="30"/>
      <c r="C35" s="31"/>
      <c r="D35" s="39" t="s">
        <v>12</v>
      </c>
      <c r="E35" s="26"/>
      <c r="F35" s="27"/>
      <c r="G35" s="27"/>
      <c r="H35" s="27"/>
      <c r="I35" s="27"/>
      <c r="J35" s="27"/>
      <c r="K35" s="27"/>
      <c r="L35" s="27"/>
      <c r="M35" s="27"/>
      <c r="N35" s="27"/>
      <c r="O35" s="27"/>
      <c r="P35" s="27"/>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28"/>
      <c r="BG35" s="29" t="n">
        <f aca="false">SUM(E35:BF35)</f>
        <v>0</v>
      </c>
    </row>
    <row r="36" customFormat="false" ht="19.5" hidden="false" customHeight="true" outlineLevel="0" collapsed="false">
      <c r="B36" s="30" t="n">
        <v>16</v>
      </c>
      <c r="C36" s="31" t="s">
        <v>10</v>
      </c>
      <c r="D36" s="38" t="s">
        <v>11</v>
      </c>
      <c r="E36" s="33"/>
      <c r="F36" s="34"/>
      <c r="G36" s="34"/>
      <c r="H36" s="34"/>
      <c r="I36" s="34"/>
      <c r="J36" s="34"/>
      <c r="K36" s="34"/>
      <c r="L36" s="34"/>
      <c r="M36" s="34"/>
      <c r="N36" s="34"/>
      <c r="O36" s="34"/>
      <c r="P36" s="34"/>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35"/>
      <c r="BG36" s="36" t="n">
        <f aca="false">SUM(E36:BF36)</f>
        <v>0</v>
      </c>
    </row>
    <row r="37" customFormat="false" ht="19.5" hidden="false" customHeight="true" outlineLevel="0" collapsed="false">
      <c r="B37" s="30"/>
      <c r="C37" s="31"/>
      <c r="D37" s="39" t="s">
        <v>12</v>
      </c>
      <c r="E37" s="26"/>
      <c r="F37" s="27"/>
      <c r="G37" s="27"/>
      <c r="H37" s="27"/>
      <c r="I37" s="27"/>
      <c r="J37" s="27"/>
      <c r="K37" s="27"/>
      <c r="L37" s="27"/>
      <c r="M37" s="27"/>
      <c r="N37" s="27"/>
      <c r="O37" s="27"/>
      <c r="P37" s="27"/>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28"/>
      <c r="BG37" s="29" t="n">
        <f aca="false">SUM(E37:BF37)</f>
        <v>0</v>
      </c>
    </row>
    <row r="38" customFormat="false" ht="19.5" hidden="false" customHeight="true" outlineLevel="0" collapsed="false">
      <c r="B38" s="30" t="n">
        <v>17</v>
      </c>
      <c r="C38" s="31" t="s">
        <v>10</v>
      </c>
      <c r="D38" s="38" t="s">
        <v>11</v>
      </c>
      <c r="E38" s="33"/>
      <c r="F38" s="34"/>
      <c r="G38" s="34"/>
      <c r="H38" s="34"/>
      <c r="I38" s="34"/>
      <c r="J38" s="34"/>
      <c r="K38" s="34"/>
      <c r="L38" s="34"/>
      <c r="M38" s="34"/>
      <c r="N38" s="34"/>
      <c r="O38" s="34"/>
      <c r="P38" s="34"/>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35"/>
      <c r="BG38" s="36" t="n">
        <f aca="false">SUM(E38:BF38)</f>
        <v>0</v>
      </c>
    </row>
    <row r="39" customFormat="false" ht="19.5" hidden="false" customHeight="true" outlineLevel="0" collapsed="false">
      <c r="B39" s="30"/>
      <c r="C39" s="31"/>
      <c r="D39" s="39" t="s">
        <v>12</v>
      </c>
      <c r="E39" s="26"/>
      <c r="F39" s="27"/>
      <c r="G39" s="27"/>
      <c r="H39" s="27"/>
      <c r="I39" s="27"/>
      <c r="J39" s="27"/>
      <c r="K39" s="27"/>
      <c r="L39" s="27"/>
      <c r="M39" s="27"/>
      <c r="N39" s="27"/>
      <c r="O39" s="27"/>
      <c r="P39" s="27"/>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28"/>
      <c r="BG39" s="29" t="n">
        <f aca="false">SUM(E39:BF39)</f>
        <v>0</v>
      </c>
    </row>
    <row r="40" customFormat="false" ht="19.5" hidden="false" customHeight="true" outlineLevel="0" collapsed="false">
      <c r="B40" s="30" t="n">
        <v>18</v>
      </c>
      <c r="C40" s="31" t="s">
        <v>10</v>
      </c>
      <c r="D40" s="38" t="s">
        <v>11</v>
      </c>
      <c r="E40" s="33"/>
      <c r="F40" s="34"/>
      <c r="G40" s="34"/>
      <c r="H40" s="34"/>
      <c r="I40" s="34"/>
      <c r="J40" s="34"/>
      <c r="K40" s="34"/>
      <c r="L40" s="34"/>
      <c r="M40" s="34"/>
      <c r="N40" s="34"/>
      <c r="O40" s="34"/>
      <c r="P40" s="34"/>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35"/>
      <c r="BG40" s="36" t="n">
        <f aca="false">SUM(E40:BF40)</f>
        <v>0</v>
      </c>
    </row>
    <row r="41" customFormat="false" ht="19.5" hidden="false" customHeight="true" outlineLevel="0" collapsed="false">
      <c r="B41" s="30"/>
      <c r="C41" s="31"/>
      <c r="D41" s="39" t="s">
        <v>12</v>
      </c>
      <c r="E41" s="26"/>
      <c r="F41" s="27"/>
      <c r="G41" s="27"/>
      <c r="H41" s="27"/>
      <c r="I41" s="27"/>
      <c r="J41" s="27"/>
      <c r="K41" s="27"/>
      <c r="L41" s="27"/>
      <c r="M41" s="27"/>
      <c r="N41" s="27"/>
      <c r="O41" s="27"/>
      <c r="P41" s="27"/>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28"/>
      <c r="BG41" s="29" t="n">
        <f aca="false">SUM(E41:BF41)</f>
        <v>0</v>
      </c>
    </row>
    <row r="42" customFormat="false" ht="19.5" hidden="false" customHeight="true" outlineLevel="0" collapsed="false">
      <c r="B42" s="30" t="n">
        <v>19</v>
      </c>
      <c r="C42" s="40" t="s">
        <v>10</v>
      </c>
      <c r="D42" s="38" t="s">
        <v>11</v>
      </c>
      <c r="E42" s="33"/>
      <c r="F42" s="34"/>
      <c r="G42" s="34"/>
      <c r="H42" s="34"/>
      <c r="I42" s="34"/>
      <c r="J42" s="34"/>
      <c r="K42" s="34"/>
      <c r="L42" s="34"/>
      <c r="M42" s="34"/>
      <c r="N42" s="34"/>
      <c r="O42" s="34"/>
      <c r="P42" s="34"/>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35"/>
      <c r="BG42" s="36" t="n">
        <f aca="false">SUM(E42:BF42)</f>
        <v>0</v>
      </c>
      <c r="BI42" s="13" t="s">
        <v>13</v>
      </c>
    </row>
    <row r="43" customFormat="false" ht="19.5" hidden="false" customHeight="true" outlineLevel="0" collapsed="false">
      <c r="B43" s="30"/>
      <c r="C43" s="40"/>
      <c r="D43" s="39" t="s">
        <v>12</v>
      </c>
      <c r="E43" s="26"/>
      <c r="F43" s="27"/>
      <c r="G43" s="27"/>
      <c r="H43" s="27"/>
      <c r="I43" s="27"/>
      <c r="J43" s="27"/>
      <c r="K43" s="27"/>
      <c r="L43" s="27"/>
      <c r="M43" s="27"/>
      <c r="N43" s="27"/>
      <c r="O43" s="27"/>
      <c r="P43" s="27"/>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28"/>
      <c r="BG43" s="29" t="n">
        <f aca="false">SUM(E43:BF43)</f>
        <v>0</v>
      </c>
      <c r="BI43" s="13" t="s">
        <v>14</v>
      </c>
    </row>
    <row r="44" customFormat="false" ht="19.5" hidden="false" customHeight="true" outlineLevel="0" collapsed="false">
      <c r="B44" s="41" t="n">
        <v>20</v>
      </c>
      <c r="C44" s="42" t="s">
        <v>10</v>
      </c>
      <c r="D44" s="38" t="s">
        <v>11</v>
      </c>
      <c r="E44" s="33"/>
      <c r="F44" s="34"/>
      <c r="G44" s="34"/>
      <c r="H44" s="34"/>
      <c r="I44" s="34"/>
      <c r="J44" s="34"/>
      <c r="K44" s="34"/>
      <c r="L44" s="34"/>
      <c r="M44" s="34"/>
      <c r="N44" s="34"/>
      <c r="O44" s="34"/>
      <c r="P44" s="34"/>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35"/>
      <c r="BG44" s="36" t="n">
        <f aca="false">SUM(E44:BF44)</f>
        <v>0</v>
      </c>
    </row>
    <row r="45" customFormat="false" ht="19.5" hidden="false" customHeight="true" outlineLevel="0" collapsed="false">
      <c r="B45" s="41"/>
      <c r="C45" s="42"/>
      <c r="D45" s="43" t="s">
        <v>12</v>
      </c>
      <c r="E45" s="26"/>
      <c r="F45" s="27"/>
      <c r="G45" s="27"/>
      <c r="H45" s="27"/>
      <c r="I45" s="27"/>
      <c r="J45" s="27"/>
      <c r="K45" s="27"/>
      <c r="L45" s="27"/>
      <c r="M45" s="27"/>
      <c r="N45" s="27"/>
      <c r="O45" s="27"/>
      <c r="P45" s="27"/>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28"/>
      <c r="BG45" s="44" t="n">
        <f aca="false">SUM(E45:BF45)</f>
        <v>0</v>
      </c>
    </row>
    <row r="46" customFormat="false" ht="19.5" hidden="false" customHeight="true" outlineLevel="0" collapsed="false">
      <c r="B46" s="45"/>
      <c r="C46" s="46" t="s">
        <v>15</v>
      </c>
      <c r="D46" s="47" t="s">
        <v>11</v>
      </c>
      <c r="E46" s="48" t="n">
        <f aca="false" t="array" ref="E46:E46">SUM(E6:E45 *(MOD(ROW(E6:E45), 2) = 0))</f>
        <v>11</v>
      </c>
      <c r="F46" s="48" t="n">
        <f aca="false" t="array" ref="F46:F46">SUM(F6:F45 *(MOD(ROW(F6:F45), 2) = 0))</f>
        <v>8</v>
      </c>
      <c r="G46" s="48" t="n">
        <f aca="false" t="array" ref="G46:G46">SUM(G6:G45 *(MOD(ROW(G6:G45), 2) = 0))</f>
        <v>20</v>
      </c>
      <c r="H46" s="48" t="n">
        <f aca="false" t="array" ref="H46:H46">SUM(H6:H45 *(MOD(ROW(H6:H45), 2) = 0))</f>
        <v>4</v>
      </c>
      <c r="I46" s="48" t="n">
        <f aca="false" t="array" ref="I46:I46">SUM(I6:I45 *(MOD(ROW(I6:I45), 2) = 0))</f>
        <v>10</v>
      </c>
      <c r="J46" s="48" t="n">
        <f aca="false" t="array" ref="J46:J46">SUM(J6:J45 *(MOD(ROW(J6:J45), 2) = 0))</f>
        <v>0</v>
      </c>
      <c r="K46" s="48" t="n">
        <f aca="false" t="array" ref="K46:K46">SUM(K6:K45 *(MOD(ROW(K6:K45), 2) = 0))</f>
        <v>0</v>
      </c>
      <c r="L46" s="48" t="n">
        <f aca="false" t="array" ref="L46:L46">SUM(L6:L45 *(MOD(ROW(L6:L45), 2) = 0))</f>
        <v>0</v>
      </c>
      <c r="M46" s="48" t="n">
        <f aca="false" t="array" ref="M46:M46">SUM(M6:M45 *(MOD(ROW(M6:M45), 2) = 0))</f>
        <v>0</v>
      </c>
      <c r="N46" s="48" t="n">
        <f aca="false" t="array" ref="N46:N46">SUM(N6:N45 *(MOD(ROW(N6:N45), 2) = 0))</f>
        <v>0</v>
      </c>
      <c r="O46" s="48" t="n">
        <f aca="false" t="array" ref="O46:O46">SUM(O6:O45 *(MOD(ROW(O6:O45), 2) = 0))</f>
        <v>0</v>
      </c>
      <c r="P46" s="48" t="n">
        <f aca="false" t="array" ref="P46:P46">SUM(P6:P45 *(MOD(ROW(P6:P45), 2) = 0))</f>
        <v>0</v>
      </c>
      <c r="Q46" s="48" t="n">
        <f aca="false" t="array" ref="Q46:Q46">SUM(Q6:Q45 *(MOD(ROW(Q6:Q45), 2) = 0))</f>
        <v>0</v>
      </c>
      <c r="R46" s="48" t="n">
        <f aca="false" t="array" ref="R46:R46">SUM(R6:R45 *(MOD(ROW(R6:R45), 2) = 0))</f>
        <v>0</v>
      </c>
      <c r="S46" s="48" t="n">
        <f aca="false" t="array" ref="S46:S46">SUM(S6:S45 *(MOD(ROW(S6:S45), 2) = 0))</f>
        <v>0</v>
      </c>
      <c r="T46" s="48" t="n">
        <f aca="false" t="array" ref="T46:T46">SUM(T6:T45 *(MOD(ROW(T6:T45), 2) = 0))</f>
        <v>0</v>
      </c>
      <c r="U46" s="48" t="n">
        <f aca="false" t="array" ref="U46:U46">SUM(U6:U45 *(MOD(ROW(U6:U45), 2) = 0))</f>
        <v>0</v>
      </c>
      <c r="V46" s="48" t="n">
        <f aca="false" t="array" ref="V46:V46">SUM(V6:V45 *(MOD(ROW(V6:V45), 2) = 0))</f>
        <v>0</v>
      </c>
      <c r="W46" s="48" t="n">
        <f aca="false" t="array" ref="W46:W46">SUM(W6:W45 *(MOD(ROW(W6:W45), 2) = 0))</f>
        <v>0</v>
      </c>
      <c r="X46" s="48" t="n">
        <f aca="false" t="array" ref="X46:X46">SUM(X6:X45 *(MOD(ROW(X6:X45), 2) = 0))</f>
        <v>0</v>
      </c>
      <c r="Y46" s="48" t="n">
        <f aca="false" t="array" ref="Y46:Y46">SUM(Y6:Y45 *(MOD(ROW(Y6:Y45), 2) = 0))</f>
        <v>0</v>
      </c>
      <c r="Z46" s="48" t="n">
        <f aca="false" t="array" ref="Z46:Z46">SUM(Z6:Z45 *(MOD(ROW(Z6:Z45), 2) = 0))</f>
        <v>0</v>
      </c>
      <c r="AA46" s="48" t="n">
        <f aca="false" t="array" ref="AA46:AA46">SUM(AA6:AA45 *(MOD(ROW(AA6:AA45), 2) = 0))</f>
        <v>0</v>
      </c>
      <c r="AB46" s="48" t="n">
        <f aca="false" t="array" ref="AB46:AB46">SUM(AB6:AB45 *(MOD(ROW(AB6:AB45), 2) = 0))</f>
        <v>0</v>
      </c>
      <c r="AC46" s="48" t="n">
        <f aca="false" t="array" ref="AC46:AC46">SUM(AC6:AC45 *(MOD(ROW(AC6:AC45), 2) = 0))</f>
        <v>0</v>
      </c>
      <c r="AD46" s="48" t="n">
        <f aca="false" t="array" ref="AD46:AD46">SUM(AD6:AD45 *(MOD(ROW(AD6:AD45), 2) = 0))</f>
        <v>0</v>
      </c>
      <c r="AE46" s="48" t="n">
        <f aca="false" t="array" ref="AE46:AE46">SUM(AE6:AE45 *(MOD(ROW(AE6:AE45), 2) = 0))</f>
        <v>0</v>
      </c>
      <c r="AF46" s="48" t="n">
        <f aca="false" t="array" ref="AF46:AF46">SUM(AF6:AF45 *(MOD(ROW(AF6:AF45), 2) = 0))</f>
        <v>0</v>
      </c>
      <c r="AG46" s="48" t="n">
        <f aca="false" t="array" ref="AG46:AG46">SUM(AG6:AG45 *(MOD(ROW(AG6:AG45), 2) = 0))</f>
        <v>0</v>
      </c>
      <c r="AH46" s="48" t="n">
        <f aca="false" t="array" ref="AH46:AH46">SUM(AH6:AH45 *(MOD(ROW(AH6:AH45), 2) = 0))</f>
        <v>0</v>
      </c>
      <c r="AI46" s="48" t="n">
        <f aca="false" t="array" ref="AI46:AI46">SUM(AI6:AI45 *(MOD(ROW(AI6:AI45), 2) = 0))</f>
        <v>0</v>
      </c>
      <c r="AJ46" s="48" t="n">
        <f aca="false" t="array" ref="AJ46:AJ46">SUM(AJ6:AJ45 *(MOD(ROW(AJ6:AJ45), 2) = 0))</f>
        <v>0</v>
      </c>
      <c r="AK46" s="48" t="n">
        <f aca="false" t="array" ref="AK46:AK46">SUM(AK6:AK45 *(MOD(ROW(AK6:AK45), 2) = 0))</f>
        <v>0</v>
      </c>
      <c r="AL46" s="48" t="n">
        <f aca="false" t="array" ref="AL46:AL46">SUM(AL6:AL45 *(MOD(ROW(AL6:AL45), 2) = 0))</f>
        <v>0</v>
      </c>
      <c r="AM46" s="48" t="n">
        <f aca="false" t="array" ref="AM46:AM46">SUM(AM6:AM45 *(MOD(ROW(AM6:AM45), 2) = 0))</f>
        <v>0</v>
      </c>
      <c r="AN46" s="48" t="n">
        <f aca="false" t="array" ref="AN46:AN46">SUM(AN6:AN45 *(MOD(ROW(AN6:AN45), 2) = 0))</f>
        <v>0</v>
      </c>
      <c r="AO46" s="48" t="n">
        <f aca="false" t="array" ref="AO46:AO46">SUM(AO6:AO45 *(MOD(ROW(AO6:AO45), 2) = 0))</f>
        <v>0</v>
      </c>
      <c r="AP46" s="48" t="n">
        <f aca="false" t="array" ref="AP46:AP46">SUM(AP6:AP45 *(MOD(ROW(AP6:AP45), 2) = 0))</f>
        <v>0</v>
      </c>
      <c r="AQ46" s="48" t="n">
        <f aca="false" t="array" ref="AQ46:AQ46">SUM(AQ6:AQ45 *(MOD(ROW(AQ6:AQ45), 2) = 0))</f>
        <v>0</v>
      </c>
      <c r="AR46" s="48" t="n">
        <f aca="false" t="array" ref="AR46:AR46">SUM(AR6:AR45 *(MOD(ROW(AR6:AR45), 2) = 0))</f>
        <v>0</v>
      </c>
      <c r="AS46" s="48" t="n">
        <f aca="false" t="array" ref="AS46:AS46">SUM(AS6:AS45 *(MOD(ROW(AS6:AS45), 2) = 0))</f>
        <v>0</v>
      </c>
      <c r="AT46" s="48" t="n">
        <f aca="false" t="array" ref="AT46:AT46">SUM(AT6:AT45 *(MOD(ROW(AT6:AT45), 2) = 0))</f>
        <v>0</v>
      </c>
      <c r="AU46" s="48" t="n">
        <f aca="false" t="array" ref="AU46:AU46">SUM(AU6:AU45 *(MOD(ROW(AU6:AU45), 2) = 0))</f>
        <v>0</v>
      </c>
      <c r="AV46" s="48" t="n">
        <f aca="false" t="array" ref="AV46:AV46">SUM(AV6:AV45 *(MOD(ROW(AV6:AV45), 2) = 0))</f>
        <v>0</v>
      </c>
      <c r="AW46" s="48" t="n">
        <f aca="false" t="array" ref="AW46:AW46">SUM(AW6:AW45 *(MOD(ROW(AW6:AW45), 2) = 0))</f>
        <v>0</v>
      </c>
      <c r="AX46" s="48" t="n">
        <f aca="false" t="array" ref="AX46:AX46">SUM(AX6:AX45 *(MOD(ROW(AX6:AX45), 2) = 0))</f>
        <v>0</v>
      </c>
      <c r="AY46" s="48" t="n">
        <f aca="false" t="array" ref="AY46:AY46">SUM(AY6:AY45 *(MOD(ROW(AY6:AY45), 2) = 0))</f>
        <v>0</v>
      </c>
      <c r="AZ46" s="48" t="n">
        <f aca="false" t="array" ref="AZ46:AZ46">SUM(AZ6:AZ45 *(MOD(ROW(AZ6:AZ45), 2) = 0))</f>
        <v>0</v>
      </c>
      <c r="BA46" s="48" t="n">
        <f aca="false" t="array" ref="BA46:BA46">SUM(BA6:BA45 *(MOD(ROW(BA6:BA45), 2) = 0))</f>
        <v>0</v>
      </c>
      <c r="BB46" s="48" t="n">
        <f aca="false" t="array" ref="BB46:BB46">SUM(BB6:BB45 *(MOD(ROW(BB6:BB45), 2) = 0))</f>
        <v>0</v>
      </c>
      <c r="BC46" s="48" t="n">
        <f aca="false" t="array" ref="BC46:BC46">SUM(BC6:BC45 *(MOD(ROW(BC6:BC45), 2) = 0))</f>
        <v>0</v>
      </c>
      <c r="BD46" s="48" t="n">
        <f aca="false" t="array" ref="BD46:BD46">SUM(BD6:BD45 *(MOD(ROW(BD6:BD45), 2) = 0))</f>
        <v>0</v>
      </c>
      <c r="BE46" s="48" t="n">
        <f aca="false" t="array" ref="BE46:BE46">SUM(BE6:BE45 *(MOD(ROW(BE6:BE45), 2) = 0))</f>
        <v>0</v>
      </c>
      <c r="BF46" s="48" t="n">
        <f aca="false" t="array" ref="BF46:BF46">SUM(BF6:BF45 *(MOD(ROW(BF6:BF45), 2) = 0))</f>
        <v>0</v>
      </c>
      <c r="BG46" s="49" t="n">
        <f aca="false">SUM(E46:BF46)</f>
        <v>53</v>
      </c>
    </row>
    <row r="47" customFormat="false" ht="19.5" hidden="false" customHeight="true" outlineLevel="0" collapsed="false">
      <c r="B47" s="50"/>
      <c r="C47" s="51" t="s">
        <v>16</v>
      </c>
      <c r="D47" s="52" t="s">
        <v>11</v>
      </c>
      <c r="E47" s="53" t="n">
        <f aca="false">E46</f>
        <v>11</v>
      </c>
      <c r="F47" s="53" t="n">
        <f aca="false">IF(F46=0,"",_xlfn.AGGREGATE(4,6,E47)+F46)</f>
        <v>19</v>
      </c>
      <c r="G47" s="53" t="n">
        <f aca="false">IF(G46=0,"",_xlfn.AGGREGATE(4,6,E47:F47)+G46)</f>
        <v>39</v>
      </c>
      <c r="H47" s="53" t="n">
        <f aca="false">IF(H46=0,"",_xlfn.AGGREGATE(4,6,E47:G47)+H46)</f>
        <v>43</v>
      </c>
      <c r="I47" s="53" t="n">
        <f aca="false">IF(I46=0,"",_xlfn.AGGREGATE(4,6,E47:H47)+I46)</f>
        <v>53</v>
      </c>
      <c r="J47" s="53" t="str">
        <f aca="false">IF(J46=0,"",_xlfn.AGGREGATE(4,6,E47:I47)+J46)</f>
        <v/>
      </c>
      <c r="K47" s="53" t="str">
        <f aca="false">IF(K46=0,"",_xlfn.AGGREGATE(4,6,E47:J47)+K46)</f>
        <v/>
      </c>
      <c r="L47" s="53" t="str">
        <f aca="false">IF(L46=0,"",_xlfn.AGGREGATE(4,6,E47:K47)+L46)</f>
        <v/>
      </c>
      <c r="M47" s="53" t="str">
        <f aca="false">IF(M46=0,"",_xlfn.AGGREGATE(4,6,E47:L47)+M46)</f>
        <v/>
      </c>
      <c r="N47" s="53" t="str">
        <f aca="false">IF(N46=0,"",_xlfn.AGGREGATE(4,6,E47:M47)+N46)</f>
        <v/>
      </c>
      <c r="O47" s="53" t="str">
        <f aca="false">IF(O46=0,"",_xlfn.AGGREGATE(4,6,E47:N47)+O46)</f>
        <v/>
      </c>
      <c r="P47" s="53" t="str">
        <f aca="false">IF(P46=0,"",_xlfn.AGGREGATE(4,6,E47:O47)+P46)</f>
        <v/>
      </c>
      <c r="Q47" s="53" t="str">
        <f aca="false">IF(Q46=0,"",_xlfn.AGGREGATE(4,6,F47:P47)+Q46)</f>
        <v/>
      </c>
      <c r="R47" s="53" t="str">
        <f aca="false">IF(R46=0,"",_xlfn.AGGREGATE(4,6,G47:Q47)+R46)</f>
        <v/>
      </c>
      <c r="S47" s="53" t="str">
        <f aca="false">IF(S46=0,"",_xlfn.AGGREGATE(4,6,H47:R47)+S46)</f>
        <v/>
      </c>
      <c r="T47" s="53" t="str">
        <f aca="false">IF(T46=0,"",_xlfn.AGGREGATE(4,6,I47:S47)+T46)</f>
        <v/>
      </c>
      <c r="U47" s="53" t="str">
        <f aca="false">IF(U46=0,"",_xlfn.AGGREGATE(4,6,J47:T47)+U46)</f>
        <v/>
      </c>
      <c r="V47" s="53" t="str">
        <f aca="false">IF(V46=0,"",_xlfn.AGGREGATE(4,6,K47:U47)+V46)</f>
        <v/>
      </c>
      <c r="W47" s="53" t="str">
        <f aca="false">IF(W46=0,"",_xlfn.AGGREGATE(4,6,L47:V47)+W46)</f>
        <v/>
      </c>
      <c r="X47" s="53" t="str">
        <f aca="false">IF(X46=0,"",_xlfn.AGGREGATE(4,6,M47:W47)+X46)</f>
        <v/>
      </c>
      <c r="Y47" s="53" t="str">
        <f aca="false">IF(Y46=0,"",_xlfn.AGGREGATE(4,6,N47:X47)+Y46)</f>
        <v/>
      </c>
      <c r="Z47" s="53" t="str">
        <f aca="false">IF(Z46=0,"",_xlfn.AGGREGATE(4,6,O47:Y47)+Z46)</f>
        <v/>
      </c>
      <c r="AA47" s="53" t="str">
        <f aca="false">IF(AA46=0,"",_xlfn.AGGREGATE(4,6,P47:Z47)+AA46)</f>
        <v/>
      </c>
      <c r="AB47" s="53" t="str">
        <f aca="false">IF(AB46=0,"",_xlfn.AGGREGATE(4,6,Q47:AA47)+AB46)</f>
        <v/>
      </c>
      <c r="AC47" s="53" t="str">
        <f aca="false">IF(AC46=0,"",_xlfn.AGGREGATE(4,6,R47:AB47)+AC46)</f>
        <v/>
      </c>
      <c r="AD47" s="53" t="str">
        <f aca="false">IF(AD46=0,"",_xlfn.AGGREGATE(4,6,S47:AC47)+AD46)</f>
        <v/>
      </c>
      <c r="AE47" s="53" t="str">
        <f aca="false">IF(AE46=0,"",_xlfn.AGGREGATE(4,6,T47:AD47)+AE46)</f>
        <v/>
      </c>
      <c r="AF47" s="53" t="str">
        <f aca="false">IF(AF46=0,"",_xlfn.AGGREGATE(4,6,U47:AE47)+AF46)</f>
        <v/>
      </c>
      <c r="AG47" s="53" t="str">
        <f aca="false">IF(AG46=0,"",_xlfn.AGGREGATE(4,6,V47:AF47)+AG46)</f>
        <v/>
      </c>
      <c r="AH47" s="53" t="str">
        <f aca="false">IF(AH46=0,"",_xlfn.AGGREGATE(4,6,W47:AG47)+AH46)</f>
        <v/>
      </c>
      <c r="AI47" s="53" t="str">
        <f aca="false">IF(AI46=0,"",_xlfn.AGGREGATE(4,6,X47:AH47)+AI46)</f>
        <v/>
      </c>
      <c r="AJ47" s="53" t="str">
        <f aca="false">IF(AJ46=0,"",_xlfn.AGGREGATE(4,6,Y47:AI47)+AJ46)</f>
        <v/>
      </c>
      <c r="AK47" s="53" t="str">
        <f aca="false">IF(AK46=0,"",_xlfn.AGGREGATE(4,6,Z47:AJ47)+AK46)</f>
        <v/>
      </c>
      <c r="AL47" s="53" t="str">
        <f aca="false">IF(AL46=0,"",_xlfn.AGGREGATE(4,6,AA47:AK47)+AL46)</f>
        <v/>
      </c>
      <c r="AM47" s="53" t="str">
        <f aca="false">IF(AM46=0,"",_xlfn.AGGREGATE(4,6,AB47:AL47)+AM46)</f>
        <v/>
      </c>
      <c r="AN47" s="53" t="str">
        <f aca="false">IF(AN46=0,"",_xlfn.AGGREGATE(4,6,AC47:AM47)+AN46)</f>
        <v/>
      </c>
      <c r="AO47" s="53" t="str">
        <f aca="false">IF(AO46=0,"",_xlfn.AGGREGATE(4,6,AD47:AN47)+AO46)</f>
        <v/>
      </c>
      <c r="AP47" s="53" t="str">
        <f aca="false">IF(AP46=0,"",_xlfn.AGGREGATE(4,6,AE47:AO47)+AP46)</f>
        <v/>
      </c>
      <c r="AQ47" s="53" t="str">
        <f aca="false">IF(AQ46=0,"",_xlfn.AGGREGATE(4,6,AF47:AP47)+AQ46)</f>
        <v/>
      </c>
      <c r="AR47" s="53" t="str">
        <f aca="false">IF(AR46=0,"",_xlfn.AGGREGATE(4,6,AG47:AQ47)+AR46)</f>
        <v/>
      </c>
      <c r="AS47" s="53" t="str">
        <f aca="false">IF(AS46=0,"",_xlfn.AGGREGATE(4,6,AH47:AR47)+AS46)</f>
        <v/>
      </c>
      <c r="AT47" s="53" t="str">
        <f aca="false">IF(AT46=0,"",_xlfn.AGGREGATE(4,6,AI47:AS47)+AT46)</f>
        <v/>
      </c>
      <c r="AU47" s="53" t="str">
        <f aca="false">IF(AU46=0,"",_xlfn.AGGREGATE(4,6,AJ47:AT47)+AU46)</f>
        <v/>
      </c>
      <c r="AV47" s="53" t="str">
        <f aca="false">IF(AV46=0,"",_xlfn.AGGREGATE(4,6,AK47:AU47)+AV46)</f>
        <v/>
      </c>
      <c r="AW47" s="53" t="str">
        <f aca="false">IF(AW46=0,"",_xlfn.AGGREGATE(4,6,AL47:AV47)+AW46)</f>
        <v/>
      </c>
      <c r="AX47" s="53" t="str">
        <f aca="false">IF(AX46=0,"",_xlfn.AGGREGATE(4,6,AM47:AW47)+AX46)</f>
        <v/>
      </c>
      <c r="AY47" s="53" t="str">
        <f aca="false">IF(AY46=0,"",_xlfn.AGGREGATE(4,6,AN47:AX47)+AY46)</f>
        <v/>
      </c>
      <c r="AZ47" s="53" t="str">
        <f aca="false">IF(AZ46=0,"",_xlfn.AGGREGATE(4,6,AO47:AY47)+AZ46)</f>
        <v/>
      </c>
      <c r="BA47" s="53" t="str">
        <f aca="false">IF(BA46=0,"",_xlfn.AGGREGATE(4,6,AP47:AZ47)+BA46)</f>
        <v/>
      </c>
      <c r="BB47" s="53" t="str">
        <f aca="false">IF(BB46=0,"",_xlfn.AGGREGATE(4,6,AQ47:BA47)+BB46)</f>
        <v/>
      </c>
      <c r="BC47" s="53" t="str">
        <f aca="false">IF(BC46=0,"",_xlfn.AGGREGATE(4,6,AR47:BB47)+BC46)</f>
        <v/>
      </c>
      <c r="BD47" s="53" t="str">
        <f aca="false">IF(BD46=0,"",_xlfn.AGGREGATE(4,6,AS47:BC47)+BD46)</f>
        <v/>
      </c>
      <c r="BE47" s="53" t="str">
        <f aca="false">IF(BE46=0,"",_xlfn.AGGREGATE(4,6,AT47:BD47)+BE46)</f>
        <v/>
      </c>
      <c r="BF47" s="53" t="str">
        <f aca="false">IF(BF46=0,"",_xlfn.AGGREGATE(4,6,AU47:BE47)+BF46)</f>
        <v/>
      </c>
      <c r="BG47" s="54"/>
    </row>
    <row r="48" customFormat="false" ht="19.5" hidden="false" customHeight="true" outlineLevel="0" collapsed="false">
      <c r="B48" s="50"/>
      <c r="C48" s="51" t="s">
        <v>17</v>
      </c>
      <c r="D48" s="52" t="s">
        <v>12</v>
      </c>
      <c r="E48" s="55" t="n">
        <f aca="false" t="array" ref="E48:E48">SUM(E6:E45 *(MOD(ROW(E6:E45), 2) = 1))</f>
        <v>11</v>
      </c>
      <c r="F48" s="55" t="n">
        <f aca="false" t="array" ref="F48:F48">SUM(F6:F45 *(MOD(ROW(F6:F45), 2) = 1))</f>
        <v>15</v>
      </c>
      <c r="G48" s="55" t="n">
        <f aca="false" t="array" ref="G48:G48">SUM(G6:G45 *(MOD(ROW(G6:G45), 2) = 1))</f>
        <v>24</v>
      </c>
      <c r="H48" s="55" t="n">
        <f aca="false" t="array" ref="H48:H48">SUM(H6:H45 *(MOD(ROW(H6:H45), 2) = 1))</f>
        <v>6</v>
      </c>
      <c r="I48" s="55" t="n">
        <f aca="false" t="array" ref="I48:I48">SUM(I6:I45 *(MOD(ROW(I6:I45), 2) = 1))</f>
        <v>9</v>
      </c>
      <c r="J48" s="55" t="n">
        <f aca="false" t="array" ref="J48:J48">SUM(J6:J45 *(MOD(ROW(J6:J45), 2) = 1))</f>
        <v>0</v>
      </c>
      <c r="K48" s="55" t="n">
        <f aca="false" t="array" ref="K48:K48">SUM(K6:K45 *(MOD(ROW(K6:K45), 2) = 1))</f>
        <v>0</v>
      </c>
      <c r="L48" s="55" t="n">
        <f aca="false" t="array" ref="L48:L48">SUM(L6:L45 *(MOD(ROW(L6:L45), 2) = 1))</f>
        <v>0</v>
      </c>
      <c r="M48" s="55" t="n">
        <f aca="false" t="array" ref="M48:M48">SUM(M6:M45 *(MOD(ROW(M6:M45), 2) = 1))</f>
        <v>0</v>
      </c>
      <c r="N48" s="55" t="n">
        <f aca="false" t="array" ref="N48:N48">SUM(N6:N45 *(MOD(ROW(N6:N45), 2) = 1))</f>
        <v>0</v>
      </c>
      <c r="O48" s="55" t="n">
        <f aca="false" t="array" ref="O48:O48">SUM(O6:O45 *(MOD(ROW(O6:O45), 2) = 1))</f>
        <v>0</v>
      </c>
      <c r="P48" s="55" t="n">
        <f aca="false" t="array" ref="P48:P48">SUM(P6:P45 *(MOD(ROW(P6:P45), 2) = 1))</f>
        <v>0</v>
      </c>
      <c r="Q48" s="55" t="n">
        <f aca="false" t="array" ref="Q48:Q48">SUM(Q6:Q45 *(MOD(ROW(Q6:Q45), 2) = 1))</f>
        <v>0</v>
      </c>
      <c r="R48" s="55" t="n">
        <f aca="false" t="array" ref="R48:R48">SUM(R6:R45 *(MOD(ROW(R6:R45), 2) = 1))</f>
        <v>0</v>
      </c>
      <c r="S48" s="55" t="n">
        <f aca="false" t="array" ref="S48:S48">SUM(S6:S45 *(MOD(ROW(S6:S45), 2) = 1))</f>
        <v>0</v>
      </c>
      <c r="T48" s="55" t="n">
        <f aca="false" t="array" ref="T48:T48">SUM(T6:T45 *(MOD(ROW(T6:T45), 2) = 1))</f>
        <v>0</v>
      </c>
      <c r="U48" s="55" t="n">
        <f aca="false" t="array" ref="U48:U48">SUM(U6:U45 *(MOD(ROW(U6:U45), 2) = 1))</f>
        <v>0</v>
      </c>
      <c r="V48" s="55" t="n">
        <f aca="false" t="array" ref="V48:V48">SUM(V6:V45 *(MOD(ROW(V6:V45), 2) = 1))</f>
        <v>0</v>
      </c>
      <c r="W48" s="55" t="n">
        <f aca="false" t="array" ref="W48:W48">SUM(W6:W45 *(MOD(ROW(W6:W45), 2) = 1))</f>
        <v>0</v>
      </c>
      <c r="X48" s="55" t="n">
        <f aca="false" t="array" ref="X48:X48">SUM(X6:X45 *(MOD(ROW(X6:X45), 2) = 1))</f>
        <v>0</v>
      </c>
      <c r="Y48" s="55" t="n">
        <f aca="false" t="array" ref="Y48:Y48">SUM(Y6:Y45 *(MOD(ROW(Y6:Y45), 2) = 1))</f>
        <v>0</v>
      </c>
      <c r="Z48" s="55" t="n">
        <f aca="false" t="array" ref="Z48:Z48">SUM(Z6:Z45 *(MOD(ROW(Z6:Z45), 2) = 1))</f>
        <v>0</v>
      </c>
      <c r="AA48" s="55" t="n">
        <f aca="false" t="array" ref="AA48:AA48">SUM(AA6:AA45 *(MOD(ROW(AA6:AA45), 2) = 1))</f>
        <v>0</v>
      </c>
      <c r="AB48" s="55" t="n">
        <f aca="false" t="array" ref="AB48:AB48">SUM(AB6:AB45 *(MOD(ROW(AB6:AB45), 2) = 1))</f>
        <v>0</v>
      </c>
      <c r="AC48" s="55" t="n">
        <f aca="false" t="array" ref="AC48:AC48">SUM(AC6:AC45 *(MOD(ROW(AC6:AC45), 2) = 1))</f>
        <v>0</v>
      </c>
      <c r="AD48" s="55" t="n">
        <f aca="false" t="array" ref="AD48:AD48">SUM(AD6:AD45 *(MOD(ROW(AD6:AD45), 2) = 1))</f>
        <v>0</v>
      </c>
      <c r="AE48" s="55" t="n">
        <f aca="false" t="array" ref="AE48:AE48">SUM(AE6:AE45 *(MOD(ROW(AE6:AE45), 2) = 1))</f>
        <v>0</v>
      </c>
      <c r="AF48" s="55" t="n">
        <f aca="false" t="array" ref="AF48:AF48">SUM(AF6:AF45 *(MOD(ROW(AF6:AF45), 2) = 1))</f>
        <v>0</v>
      </c>
      <c r="AG48" s="55" t="n">
        <f aca="false" t="array" ref="AG48:AG48">SUM(AG6:AG45 *(MOD(ROW(AG6:AG45), 2) = 1))</f>
        <v>0</v>
      </c>
      <c r="AH48" s="55" t="n">
        <f aca="false" t="array" ref="AH48:AH48">SUM(AH6:AH45 *(MOD(ROW(AH6:AH45), 2) = 1))</f>
        <v>0</v>
      </c>
      <c r="AI48" s="55" t="n">
        <f aca="false" t="array" ref="AI48:AI48">SUM(AI6:AI45 *(MOD(ROW(AI6:AI45), 2) = 1))</f>
        <v>0</v>
      </c>
      <c r="AJ48" s="55" t="n">
        <f aca="false" t="array" ref="AJ48:AJ48">SUM(AJ6:AJ45 *(MOD(ROW(AJ6:AJ45), 2) = 1))</f>
        <v>0</v>
      </c>
      <c r="AK48" s="55" t="n">
        <f aca="false" t="array" ref="AK48:AK48">SUM(AK6:AK45 *(MOD(ROW(AK6:AK45), 2) = 1))</f>
        <v>0</v>
      </c>
      <c r="AL48" s="55" t="n">
        <f aca="false" t="array" ref="AL48:AL48">SUM(AL6:AL45 *(MOD(ROW(AL6:AL45), 2) = 1))</f>
        <v>0</v>
      </c>
      <c r="AM48" s="55" t="n">
        <f aca="false" t="array" ref="AM48:AM48">SUM(AM6:AM45 *(MOD(ROW(AM6:AM45), 2) = 1))</f>
        <v>0</v>
      </c>
      <c r="AN48" s="55" t="n">
        <f aca="false" t="array" ref="AN48:AN48">SUM(AN6:AN45 *(MOD(ROW(AN6:AN45), 2) = 1))</f>
        <v>0</v>
      </c>
      <c r="AO48" s="55" t="n">
        <f aca="false" t="array" ref="AO48:AO48">SUM(AO6:AO45 *(MOD(ROW(AO6:AO45), 2) = 1))</f>
        <v>0</v>
      </c>
      <c r="AP48" s="55" t="n">
        <f aca="false" t="array" ref="AP48:AP48">SUM(AP6:AP45 *(MOD(ROW(AP6:AP45), 2) = 1))</f>
        <v>0</v>
      </c>
      <c r="AQ48" s="55" t="n">
        <f aca="false" t="array" ref="AQ48:AQ48">SUM(AQ6:AQ45 *(MOD(ROW(AQ6:AQ45), 2) = 1))</f>
        <v>0</v>
      </c>
      <c r="AR48" s="55" t="n">
        <f aca="false" t="array" ref="AR48:AR48">SUM(AR6:AR45 *(MOD(ROW(AR6:AR45), 2) = 1))</f>
        <v>0</v>
      </c>
      <c r="AS48" s="55" t="n">
        <f aca="false" t="array" ref="AS48:AS48">SUM(AS6:AS45 *(MOD(ROW(AS6:AS45), 2) = 1))</f>
        <v>0</v>
      </c>
      <c r="AT48" s="55" t="n">
        <f aca="false" t="array" ref="AT48:AT48">SUM(AT6:AT45 *(MOD(ROW(AT6:AT45), 2) = 1))</f>
        <v>0</v>
      </c>
      <c r="AU48" s="55" t="n">
        <f aca="false" t="array" ref="AU48:AU48">SUM(AU6:AU45 *(MOD(ROW(AU6:AU45), 2) = 1))</f>
        <v>0</v>
      </c>
      <c r="AV48" s="55" t="n">
        <f aca="false" t="array" ref="AV48:AV48">SUM(AV6:AV45 *(MOD(ROW(AV6:AV45), 2) = 1))</f>
        <v>0</v>
      </c>
      <c r="AW48" s="55" t="n">
        <f aca="false" t="array" ref="AW48:AW48">SUM(AW6:AW45 *(MOD(ROW(AW6:AW45), 2) = 1))</f>
        <v>0</v>
      </c>
      <c r="AX48" s="55" t="n">
        <f aca="false" t="array" ref="AX48:AX48">SUM(AX6:AX45 *(MOD(ROW(AX6:AX45), 2) = 1))</f>
        <v>0</v>
      </c>
      <c r="AY48" s="55" t="n">
        <f aca="false" t="array" ref="AY48:AY48">SUM(AY6:AY45 *(MOD(ROW(AY6:AY45), 2) = 1))</f>
        <v>0</v>
      </c>
      <c r="AZ48" s="55" t="n">
        <f aca="false" t="array" ref="AZ48:AZ48">SUM(AZ6:AZ45 *(MOD(ROW(AZ6:AZ45), 2) = 1))</f>
        <v>0</v>
      </c>
      <c r="BA48" s="55" t="n">
        <f aca="false" t="array" ref="BA48:BA48">SUM(BA6:BA45 *(MOD(ROW(BA6:BA45), 2) = 1))</f>
        <v>0</v>
      </c>
      <c r="BB48" s="55" t="n">
        <f aca="false" t="array" ref="BB48:BB48">SUM(BB6:BB45 *(MOD(ROW(BB6:BB45), 2) = 1))</f>
        <v>0</v>
      </c>
      <c r="BC48" s="55" t="n">
        <f aca="false" t="array" ref="BC48:BC48">SUM(BC6:BC45 *(MOD(ROW(BC6:BC45), 2) = 1))</f>
        <v>0</v>
      </c>
      <c r="BD48" s="55" t="n">
        <f aca="false" t="array" ref="BD48:BD48">SUM(BD6:BD45 *(MOD(ROW(BD6:BD45), 2) = 1))</f>
        <v>0</v>
      </c>
      <c r="BE48" s="55" t="n">
        <f aca="false" t="array" ref="BE48:BE48">SUM(BE6:BE45 *(MOD(ROW(BE6:BE45), 2) = 1))</f>
        <v>0</v>
      </c>
      <c r="BF48" s="55" t="n">
        <f aca="false" t="array" ref="BF48:BF48">SUM(BF6:BF45 *(MOD(ROW(BF6:BF45), 2) = 1))</f>
        <v>0</v>
      </c>
      <c r="BG48" s="56" t="n">
        <f aca="false">SUM(E48:BF48)</f>
        <v>65</v>
      </c>
    </row>
    <row r="49" customFormat="false" ht="19.5" hidden="false" customHeight="true" outlineLevel="0" collapsed="false">
      <c r="B49" s="57"/>
      <c r="C49" s="58" t="s">
        <v>18</v>
      </c>
      <c r="D49" s="59" t="s">
        <v>12</v>
      </c>
      <c r="E49" s="60" t="n">
        <f aca="false">E48</f>
        <v>11</v>
      </c>
      <c r="F49" s="60" t="n">
        <f aca="false">IF(F48=0,"",_xlfn.AGGREGATE(4,6,E49)+F48)</f>
        <v>26</v>
      </c>
      <c r="G49" s="60" t="n">
        <f aca="false">IF(G48=0,"",_xlfn.AGGREGATE(4,6,E49:F49)+G48)</f>
        <v>50</v>
      </c>
      <c r="H49" s="60" t="n">
        <f aca="false">IF(H48=0,"",_xlfn.AGGREGATE(4,6,E49:G49)+H48)</f>
        <v>56</v>
      </c>
      <c r="I49" s="60" t="n">
        <f aca="false">IF(I48=0,"",_xlfn.AGGREGATE(4,6,E49:H49)+I48)</f>
        <v>65</v>
      </c>
      <c r="J49" s="60" t="str">
        <f aca="false">IF(J48=0,"",_xlfn.AGGREGATE(4,6,E49:I49)+J48)</f>
        <v/>
      </c>
      <c r="K49" s="60" t="str">
        <f aca="false">IF(K48=0,"",_xlfn.AGGREGATE(4,6,E49:J49)+K48)</f>
        <v/>
      </c>
      <c r="L49" s="60" t="str">
        <f aca="false">IF(L48=0,"",_xlfn.AGGREGATE(4,6,E49:K49)+L48)</f>
        <v/>
      </c>
      <c r="M49" s="60" t="str">
        <f aca="false">IF(M48=0,"",_xlfn.AGGREGATE(4,6,E49:L49)+M48)</f>
        <v/>
      </c>
      <c r="N49" s="60" t="str">
        <f aca="false">IF(N48=0,"",_xlfn.AGGREGATE(4,6,E49:M49)+N48)</f>
        <v/>
      </c>
      <c r="O49" s="60" t="str">
        <f aca="false">IF(O48=0,"",_xlfn.AGGREGATE(4,6,E49:N49)+O48)</f>
        <v/>
      </c>
      <c r="P49" s="60" t="str">
        <f aca="false">IF(P48=0,"",_xlfn.AGGREGATE(4,6,E49:O49)+P48)</f>
        <v/>
      </c>
      <c r="Q49" s="60" t="str">
        <f aca="false">IF(Q48=0,"",_xlfn.AGGREGATE(4,6,F49:P49)+Q48)</f>
        <v/>
      </c>
      <c r="R49" s="60" t="str">
        <f aca="false">IF(R48=0,"",_xlfn.AGGREGATE(4,6,G49:Q49)+R48)</f>
        <v/>
      </c>
      <c r="S49" s="60" t="str">
        <f aca="false">IF(S48=0,"",_xlfn.AGGREGATE(4,6,H49:R49)+S48)</f>
        <v/>
      </c>
      <c r="T49" s="60" t="str">
        <f aca="false">IF(T48=0,"",_xlfn.AGGREGATE(4,6,I49:S49)+T48)</f>
        <v/>
      </c>
      <c r="U49" s="60" t="str">
        <f aca="false">IF(U48=0,"",_xlfn.AGGREGATE(4,6,J49:T49)+U48)</f>
        <v/>
      </c>
      <c r="V49" s="60" t="str">
        <f aca="false">IF(V48=0,"",_xlfn.AGGREGATE(4,6,K49:U49)+V48)</f>
        <v/>
      </c>
      <c r="W49" s="60" t="str">
        <f aca="false">IF(W48=0,"",_xlfn.AGGREGATE(4,6,L49:V49)+W48)</f>
        <v/>
      </c>
      <c r="X49" s="60" t="str">
        <f aca="false">IF(X48=0,"",_xlfn.AGGREGATE(4,6,M49:W49)+X48)</f>
        <v/>
      </c>
      <c r="Y49" s="60" t="str">
        <f aca="false">IF(Y48=0,"",_xlfn.AGGREGATE(4,6,N49:X49)+Y48)</f>
        <v/>
      </c>
      <c r="Z49" s="60" t="str">
        <f aca="false">IF(Z48=0,"",_xlfn.AGGREGATE(4,6,O49:Y49)+Z48)</f>
        <v/>
      </c>
      <c r="AA49" s="60" t="str">
        <f aca="false">IF(AA48=0,"",_xlfn.AGGREGATE(4,6,P49:Z49)+AA48)</f>
        <v/>
      </c>
      <c r="AB49" s="60" t="str">
        <f aca="false">IF(AB48=0,"",_xlfn.AGGREGATE(4,6,Q49:AA49)+AB48)</f>
        <v/>
      </c>
      <c r="AC49" s="60" t="str">
        <f aca="false">IF(AC48=0,"",_xlfn.AGGREGATE(4,6,R49:AB49)+AC48)</f>
        <v/>
      </c>
      <c r="AD49" s="60" t="str">
        <f aca="false">IF(AD48=0,"",_xlfn.AGGREGATE(4,6,S49:AC49)+AD48)</f>
        <v/>
      </c>
      <c r="AE49" s="60" t="str">
        <f aca="false">IF(AE48=0,"",_xlfn.AGGREGATE(4,6,T49:AD49)+AE48)</f>
        <v/>
      </c>
      <c r="AF49" s="60" t="str">
        <f aca="false">IF(AF48=0,"",_xlfn.AGGREGATE(4,6,U49:AE49)+AF48)</f>
        <v/>
      </c>
      <c r="AG49" s="60" t="str">
        <f aca="false">IF(AG48=0,"",_xlfn.AGGREGATE(4,6,V49:AF49)+AG48)</f>
        <v/>
      </c>
      <c r="AH49" s="60" t="str">
        <f aca="false">IF(AH48=0,"",_xlfn.AGGREGATE(4,6,W49:AG49)+AH48)</f>
        <v/>
      </c>
      <c r="AI49" s="60" t="str">
        <f aca="false">IF(AI48=0,"",_xlfn.AGGREGATE(4,6,X49:AH49)+AI48)</f>
        <v/>
      </c>
      <c r="AJ49" s="60" t="str">
        <f aca="false">IF(AJ48=0,"",_xlfn.AGGREGATE(4,6,Y49:AI49)+AJ48)</f>
        <v/>
      </c>
      <c r="AK49" s="60" t="str">
        <f aca="false">IF(AK48=0,"",_xlfn.AGGREGATE(4,6,Z49:AJ49)+AK48)</f>
        <v/>
      </c>
      <c r="AL49" s="60" t="str">
        <f aca="false">IF(AL48=0,"",_xlfn.AGGREGATE(4,6,AA49:AK49)+AL48)</f>
        <v/>
      </c>
      <c r="AM49" s="60" t="str">
        <f aca="false">IF(AM48=0,"",_xlfn.AGGREGATE(4,6,AB49:AL49)+AM48)</f>
        <v/>
      </c>
      <c r="AN49" s="60" t="str">
        <f aca="false">IF(AN48=0,"",_xlfn.AGGREGATE(4,6,AC49:AM49)+AN48)</f>
        <v/>
      </c>
      <c r="AO49" s="60" t="str">
        <f aca="false">IF(AO48=0,"",_xlfn.AGGREGATE(4,6,AD49:AN49)+AO48)</f>
        <v/>
      </c>
      <c r="AP49" s="60" t="str">
        <f aca="false">IF(AP48=0,"",_xlfn.AGGREGATE(4,6,AE49:AO49)+AP48)</f>
        <v/>
      </c>
      <c r="AQ49" s="60" t="str">
        <f aca="false">IF(AQ48=0,"",_xlfn.AGGREGATE(4,6,AF49:AP49)+AQ48)</f>
        <v/>
      </c>
      <c r="AR49" s="60" t="str">
        <f aca="false">IF(AR48=0,"",_xlfn.AGGREGATE(4,6,AG49:AQ49)+AR48)</f>
        <v/>
      </c>
      <c r="AS49" s="60" t="str">
        <f aca="false">IF(AS48=0,"",_xlfn.AGGREGATE(4,6,AH49:AR49)+AS48)</f>
        <v/>
      </c>
      <c r="AT49" s="60" t="str">
        <f aca="false">IF(AT48=0,"",_xlfn.AGGREGATE(4,6,AI49:AS49)+AT48)</f>
        <v/>
      </c>
      <c r="AU49" s="60" t="str">
        <f aca="false">IF(AU48=0,"",_xlfn.AGGREGATE(4,6,AJ49:AT49)+AU48)</f>
        <v/>
      </c>
      <c r="AV49" s="60" t="str">
        <f aca="false">IF(AV48=0,"",_xlfn.AGGREGATE(4,6,AK49:AU49)+AV48)</f>
        <v/>
      </c>
      <c r="AW49" s="60" t="str">
        <f aca="false">IF(AW48=0,"",_xlfn.AGGREGATE(4,6,AL49:AV49)+AW48)</f>
        <v/>
      </c>
      <c r="AX49" s="60" t="str">
        <f aca="false">IF(AX48=0,"",_xlfn.AGGREGATE(4,6,AM49:AW49)+AX48)</f>
        <v/>
      </c>
      <c r="AY49" s="60" t="str">
        <f aca="false">IF(AY48=0,"",_xlfn.AGGREGATE(4,6,AN49:AX49)+AY48)</f>
        <v/>
      </c>
      <c r="AZ49" s="60" t="str">
        <f aca="false">IF(AZ48=0,"",_xlfn.AGGREGATE(4,6,AO49:AY49)+AZ48)</f>
        <v/>
      </c>
      <c r="BA49" s="60" t="str">
        <f aca="false">IF(BA48=0,"",_xlfn.AGGREGATE(4,6,AP49:AZ49)+BA48)</f>
        <v/>
      </c>
      <c r="BB49" s="60" t="str">
        <f aca="false">IF(BB48=0,"",_xlfn.AGGREGATE(4,6,AQ49:BA49)+BB48)</f>
        <v/>
      </c>
      <c r="BC49" s="60" t="str">
        <f aca="false">IF(BC48=0,"",_xlfn.AGGREGATE(4,6,AR49:BB49)+BC48)</f>
        <v/>
      </c>
      <c r="BD49" s="60" t="str">
        <f aca="false">IF(BD48=0,"",_xlfn.AGGREGATE(4,6,AS49:BC49)+BD48)</f>
        <v/>
      </c>
      <c r="BE49" s="60" t="str">
        <f aca="false">IF(BE48=0,"",_xlfn.AGGREGATE(4,6,AT49:BD49)+BE48)</f>
        <v/>
      </c>
      <c r="BF49" s="60" t="str">
        <f aca="false">IF(BF48=0,"",_xlfn.AGGREGATE(4,6,AU49:BE49)+BF48)</f>
        <v/>
      </c>
      <c r="BG49" s="61"/>
    </row>
    <row r="50" customFormat="false" ht="13.8" hidden="false" customHeight="false" outlineLevel="0" collapsed="false">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row>
    <row r="51" customFormat="false" ht="13.8" hidden="false" customHeight="false" outlineLevel="0" collapsed="false">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row>
    <row r="52" customFormat="false" ht="13.8" hidden="false" customHeight="false" outlineLevel="0" collapsed="false">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row>
    <row r="53" customFormat="false" ht="13.8" hidden="false" customHeight="false" outlineLevel="0" collapsed="false">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row>
    <row r="54" customFormat="false" ht="13.8" hidden="false" customHeight="false" outlineLevel="0" collapsed="false">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row>
    <row r="55" customFormat="false" ht="13.8" hidden="false" customHeight="false" outlineLevel="0" collapsed="false">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row>
    <row r="56" customFormat="false" ht="13.8" hidden="false" customHeight="false" outlineLevel="0" collapsed="false">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row>
    <row r="57" customFormat="false" ht="13.8" hidden="false" customHeight="false" outlineLevel="0" collapsed="false">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row>
    <row r="58" customFormat="false" ht="13.8" hidden="false" customHeight="false" outlineLevel="0" collapsed="false">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row>
    <row r="59" customFormat="false" ht="13.8" hidden="false" customHeight="false" outlineLevel="0" collapsed="false">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row>
    <row r="60" customFormat="false" ht="13.8" hidden="false" customHeight="false" outlineLevel="0" collapsed="false">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row>
    <row r="61" customFormat="false" ht="13.8" hidden="false" customHeight="false" outlineLevel="0" collapsed="false">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row>
    <row r="62" customFormat="false" ht="13.8" hidden="false" customHeight="false" outlineLevel="0" collapsed="false">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row>
    <row r="63" customFormat="false" ht="13.8" hidden="false" customHeight="false" outlineLevel="0" collapsed="false">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row>
    <row r="64" customFormat="false" ht="13.8" hidden="false" customHeight="false" outlineLevel="0" collapsed="false">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row>
    <row r="65" customFormat="false" ht="13.8" hidden="false" customHeight="false" outlineLevel="0" collapsed="false">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row>
    <row r="66" customFormat="false" ht="13.8" hidden="false" customHeight="false" outlineLevel="0" collapsed="false">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row>
    <row r="67" customFormat="false" ht="13.8" hidden="false" customHeight="false" outlineLevel="0" collapsed="false">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row>
    <row r="68" customFormat="false" ht="13.8" hidden="false" customHeight="false" outlineLevel="0" collapsed="false">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row>
    <row r="69" customFormat="false" ht="13.8" hidden="false" customHeight="false" outlineLevel="0" collapsed="false">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row>
    <row r="70" customFormat="false" ht="13.8" hidden="false" customHeight="false" outlineLevel="0" collapsed="false">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row>
    <row r="71" customFormat="false" ht="13.8" hidden="false" customHeight="false" outlineLevel="0" collapsed="false">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row>
    <row r="72" customFormat="false" ht="13.8" hidden="false" customHeight="false" outlineLevel="0" collapsed="false">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62"/>
      <c r="BD72" s="62"/>
      <c r="BE72" s="62"/>
      <c r="BF72" s="62"/>
      <c r="BG72" s="62"/>
    </row>
    <row r="73" customFormat="false" ht="13.8" hidden="false" customHeight="false" outlineLevel="0" collapsed="false">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62"/>
      <c r="AG73" s="62"/>
      <c r="AH73" s="62"/>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row>
    <row r="74" customFormat="false" ht="13.8" hidden="false" customHeight="false" outlineLevel="0" collapsed="false">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row>
    <row r="75" customFormat="false" ht="13.8" hidden="false" customHeight="false" outlineLevel="0" collapsed="false">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row>
  </sheetData>
  <autoFilter ref="B5:D49"/>
  <mergeCells count="41">
    <mergeCell ref="I3:K3"/>
    <mergeCell ref="B6:B7"/>
    <mergeCell ref="C6:C7"/>
    <mergeCell ref="B8:B9"/>
    <mergeCell ref="C8:C9"/>
    <mergeCell ref="B10:B11"/>
    <mergeCell ref="C10:C11"/>
    <mergeCell ref="B12:B13"/>
    <mergeCell ref="C12:C13"/>
    <mergeCell ref="B14:B15"/>
    <mergeCell ref="C14:C15"/>
    <mergeCell ref="B16:B17"/>
    <mergeCell ref="C16:C17"/>
    <mergeCell ref="B18:B19"/>
    <mergeCell ref="C18:C19"/>
    <mergeCell ref="B20:B21"/>
    <mergeCell ref="C20:C21"/>
    <mergeCell ref="B22:B23"/>
    <mergeCell ref="C22:C23"/>
    <mergeCell ref="B24:B25"/>
    <mergeCell ref="C24:C25"/>
    <mergeCell ref="B26:B27"/>
    <mergeCell ref="C26:C27"/>
    <mergeCell ref="B28:B29"/>
    <mergeCell ref="C28:C29"/>
    <mergeCell ref="B30:B31"/>
    <mergeCell ref="C30:C31"/>
    <mergeCell ref="B32:B33"/>
    <mergeCell ref="C32:C33"/>
    <mergeCell ref="B34:B35"/>
    <mergeCell ref="C34:C35"/>
    <mergeCell ref="B36:B37"/>
    <mergeCell ref="C36:C37"/>
    <mergeCell ref="B38:B39"/>
    <mergeCell ref="C38:C39"/>
    <mergeCell ref="B40:B41"/>
    <mergeCell ref="C40:C41"/>
    <mergeCell ref="B42:B43"/>
    <mergeCell ref="C42:C43"/>
    <mergeCell ref="B44:B45"/>
    <mergeCell ref="C44:C45"/>
  </mergeCells>
  <conditionalFormatting sqref="E13:BF13 E15:BF15 E17:BF17 E19:BF19 E21:BF21 E23:BF23 E25:BF25 E27:BF27 E29:BF29 E31:BF31 E33:BF33 E35:BF35 E37:BF37 E39:BF39 E41:BF41 E43:BF43 E45:BF45">
    <cfRule type="cellIs" priority="2" operator="lessThan" aboveAverage="0" equalAverage="0" bottom="0" percent="0" rank="0" text="" dxfId="16">
      <formula>E12</formula>
    </cfRule>
    <cfRule type="cellIs" priority="3" operator="greaterThan" aboveAverage="0" equalAverage="0" bottom="0" percent="0" rank="0" text="" dxfId="17">
      <formula>E12</formula>
    </cfRule>
  </conditionalFormatting>
  <conditionalFormatting sqref="E11:BF11">
    <cfRule type="cellIs" priority="4" operator="lessThan" aboveAverage="0" equalAverage="0" bottom="0" percent="0" rank="0" text="" dxfId="18">
      <formula>E10</formula>
    </cfRule>
    <cfRule type="cellIs" priority="5" operator="greaterThan" aboveAverage="0" equalAverage="0" bottom="0" percent="0" rank="0" text="" dxfId="19">
      <formula>E10</formula>
    </cfRule>
  </conditionalFormatting>
  <conditionalFormatting sqref="E9:BF9">
    <cfRule type="cellIs" priority="6" operator="lessThan" aboveAverage="0" equalAverage="0" bottom="0" percent="0" rank="0" text="" dxfId="20">
      <formula>E$8</formula>
    </cfRule>
    <cfRule type="cellIs" priority="7" operator="greaterThan" aboveAverage="0" equalAverage="0" bottom="0" percent="0" rank="0" text="" dxfId="21">
      <formula>E$8</formula>
    </cfRule>
  </conditionalFormatting>
  <conditionalFormatting sqref="E7:BF7">
    <cfRule type="cellIs" priority="8" operator="lessThan" aboveAverage="0" equalAverage="0" bottom="0" percent="0" rank="0" text="" dxfId="22">
      <formula>E6</formula>
    </cfRule>
    <cfRule type="cellIs" priority="9" operator="greaterThan" aboveAverage="0" equalAverage="0" bottom="0" percent="0" rank="0" text="" dxfId="23">
      <formula>E6</formula>
    </cfRule>
  </conditionalFormatting>
  <conditionalFormatting sqref="F47:BF47">
    <cfRule type="containsErrors" priority="10" aboveAverage="0" equalAverage="0" bottom="0" percent="0" rank="0" text="" dxfId="24">
      <formula>ISERROR(F47)</formula>
    </cfRule>
  </conditionalFormatting>
  <conditionalFormatting sqref="E49:BF49">
    <cfRule type="containsErrors" priority="11" aboveAverage="0" equalAverage="0" bottom="0" percent="0" rank="0" text="" dxfId="25">
      <formula>ISERROR(E49)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11" activeCellId="0" sqref="O11"/>
    </sheetView>
  </sheetViews>
  <sheetFormatPr defaultColWidth="8.679687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3.34"/>
    <col collapsed="false" customWidth="true" hidden="false" outlineLevel="0" max="2" min="2" style="0" width="68"/>
    <col collapsed="false" customWidth="true" hidden="false" outlineLevel="0" max="3" min="3" style="0" width="13.56"/>
  </cols>
  <sheetData>
    <row r="1" customFormat="false" ht="35.25" hidden="false" customHeight="true" outlineLevel="0" collapsed="false">
      <c r="A1" s="72"/>
      <c r="B1" s="73" t="s">
        <v>20</v>
      </c>
      <c r="C1" s="72"/>
    </row>
    <row r="2" customFormat="false" ht="15" hidden="false" customHeight="false" outlineLevel="0" collapsed="false">
      <c r="A2" s="74"/>
      <c r="B2" s="74"/>
      <c r="C2" s="75"/>
    </row>
    <row r="3" customFormat="false" ht="18.75" hidden="false" customHeight="true" outlineLevel="0" collapsed="false">
      <c r="A3" s="74"/>
      <c r="B3" s="74" t="s">
        <v>21</v>
      </c>
      <c r="C3" s="75"/>
    </row>
    <row r="4" customFormat="false" ht="15" hidden="false" customHeight="false" outlineLevel="0" collapsed="false">
      <c r="A4" s="74"/>
      <c r="B4" s="74"/>
      <c r="C4" s="75"/>
    </row>
    <row r="5" customFormat="false" ht="39.55" hidden="false" customHeight="false" outlineLevel="0" collapsed="false">
      <c r="A5" s="74"/>
      <c r="B5" s="76" t="s">
        <v>22</v>
      </c>
      <c r="C5" s="75"/>
    </row>
    <row r="6" customFormat="false" ht="15" hidden="false" customHeight="false" outlineLevel="0" collapsed="false">
      <c r="A6" s="74"/>
      <c r="B6" s="74"/>
      <c r="C6" s="75"/>
    </row>
    <row r="7" customFormat="false" ht="26.85" hidden="false" customHeight="false" outlineLevel="0" collapsed="false">
      <c r="A7" s="74"/>
      <c r="B7" s="76" t="s">
        <v>23</v>
      </c>
      <c r="C7" s="75"/>
    </row>
    <row r="8" customFormat="false" ht="15" hidden="false" customHeight="false" outlineLevel="0" collapsed="false">
      <c r="A8" s="74"/>
      <c r="B8" s="74"/>
      <c r="C8" s="75"/>
    </row>
    <row r="9" customFormat="false" ht="39.55" hidden="false" customHeight="false" outlineLevel="0" collapsed="false">
      <c r="A9" s="74"/>
      <c r="B9" s="76" t="s">
        <v>24</v>
      </c>
      <c r="C9" s="75"/>
    </row>
    <row r="10" customFormat="false" ht="15" hidden="false" customHeight="false" outlineLevel="0" collapsed="false">
      <c r="A10" s="74"/>
      <c r="B10" s="74"/>
      <c r="C10" s="75"/>
    </row>
    <row r="11" customFormat="false" ht="15" hidden="false" customHeight="false" outlineLevel="0" collapsed="false">
      <c r="A11" s="74"/>
      <c r="B11" s="74" t="s">
        <v>25</v>
      </c>
      <c r="C11" s="75"/>
    </row>
    <row r="12" customFormat="false" ht="15" hidden="false" customHeight="false" outlineLevel="0" collapsed="false">
      <c r="A12" s="74"/>
      <c r="B12" s="74"/>
      <c r="C12" s="75"/>
    </row>
    <row r="13" customFormat="false" ht="24" hidden="false" customHeight="true" outlineLevel="0" collapsed="false">
      <c r="A13" s="74"/>
      <c r="B13" s="77" t="s">
        <v>26</v>
      </c>
      <c r="C13" s="75"/>
    </row>
    <row r="14" customFormat="false" ht="15" hidden="false" customHeight="false" outlineLevel="0" collapsed="false">
      <c r="A14" s="74"/>
      <c r="B14" s="74"/>
      <c r="C14" s="75"/>
    </row>
    <row r="15" customFormat="false" ht="77.6" hidden="false" customHeight="false" outlineLevel="0" collapsed="false">
      <c r="A15" s="74"/>
      <c r="B15" s="76" t="s">
        <v>27</v>
      </c>
      <c r="C15" s="75"/>
    </row>
    <row r="16" customFormat="false" ht="15" hidden="false" customHeight="false" outlineLevel="0" collapsed="false">
      <c r="A16" s="74"/>
      <c r="B16" s="74"/>
      <c r="C16" s="75"/>
    </row>
    <row r="17" customFormat="false" ht="15" hidden="false" customHeight="false" outlineLevel="0" collapsed="false">
      <c r="A17" s="74"/>
      <c r="B17" s="74"/>
      <c r="C17" s="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picture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2024-03-13T02:05:48Z</dcterms:created>
  <dc:creator>David McLachlan</dc:creator>
  <dc:description/>
  <dc:language>en-SG</dc:language>
  <cp:lastModifiedBy/>
  <dcterms:modified xsi:type="dcterms:W3CDTF">2026-08-19T22:20:57Z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